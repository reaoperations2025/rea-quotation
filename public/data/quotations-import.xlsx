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eaac\OneDrive\Desktop\"/>
    </mc:Choice>
  </mc:AlternateContent>
  <xr:revisionPtr revIDLastSave="0" documentId="8_{B7F6626D-1328-4E8E-B98F-E987FB04BB6D}" xr6:coauthVersionLast="47" xr6:coauthVersionMax="47" xr10:uidLastSave="{00000000-0000-0000-0000-000000000000}"/>
  <bookViews>
    <workbookView xWindow="-120" yWindow="-120" windowWidth="29040" windowHeight="15720" xr2:uid="{ED94359B-DA2A-469F-8DF2-C96101977A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44" i="1" l="1"/>
  <c r="J836" i="1"/>
  <c r="J807" i="1"/>
  <c r="J806" i="1"/>
  <c r="J535" i="1"/>
  <c r="J525" i="1"/>
  <c r="J488" i="1"/>
  <c r="J479" i="1"/>
  <c r="J471" i="1"/>
  <c r="J445" i="1"/>
  <c r="J436" i="1"/>
  <c r="J435" i="1"/>
  <c r="J424" i="1"/>
  <c r="J385" i="1"/>
  <c r="J336" i="1"/>
  <c r="J330" i="1"/>
  <c r="J251" i="1"/>
  <c r="I107" i="1"/>
  <c r="I94" i="1"/>
  <c r="I86" i="1"/>
  <c r="I22" i="1"/>
</calcChain>
</file>

<file path=xl/sharedStrings.xml><?xml version="1.0" encoding="utf-8"?>
<sst xmlns="http://schemas.openxmlformats.org/spreadsheetml/2006/main" count="11920" uniqueCount="5194">
  <si>
    <t>QUOTATION NO</t>
  </si>
  <si>
    <t xml:space="preserve">QUOTATION DATE </t>
  </si>
  <si>
    <t>CLIENT</t>
  </si>
  <si>
    <t>NEW/OLD</t>
  </si>
  <si>
    <t>DESCRIPTION 1</t>
  </si>
  <si>
    <t>DESCRIPTION 2</t>
  </si>
  <si>
    <t>QTY</t>
  </si>
  <si>
    <t>UNIT COST</t>
  </si>
  <si>
    <t>TOTAL AMOUNT</t>
  </si>
  <si>
    <t>SALES  PERSON</t>
  </si>
  <si>
    <t>INVOICE NO</t>
  </si>
  <si>
    <t>STATUS</t>
  </si>
  <si>
    <t>24-0001</t>
  </si>
  <si>
    <t>Lycee Francais Jean Mermoz School</t>
  </si>
  <si>
    <t>OLD</t>
  </si>
  <si>
    <t>Security Cabin Branding</t>
  </si>
  <si>
    <t>Size : 56 (h) x 253 (w) cm</t>
  </si>
  <si>
    <t>REENA</t>
  </si>
  <si>
    <t>REGRET</t>
  </si>
  <si>
    <t>24-0002</t>
  </si>
  <si>
    <t>GF Corys</t>
  </si>
  <si>
    <t>NEW</t>
  </si>
  <si>
    <t>Business Card</t>
  </si>
  <si>
    <t>350gsm Conqueror Paper</t>
  </si>
  <si>
    <t>200x21 Names</t>
  </si>
  <si>
    <t>MARINELLE</t>
  </si>
  <si>
    <t>24-0003</t>
  </si>
  <si>
    <t>Murdoch University</t>
  </si>
  <si>
    <t>Round neck Tshirt</t>
  </si>
  <si>
    <t>Colors: Red / Black</t>
  </si>
  <si>
    <t>24-0008</t>
  </si>
  <si>
    <t>INVOICED</t>
  </si>
  <si>
    <t>24-0004</t>
  </si>
  <si>
    <t>Tristar Group</t>
  </si>
  <si>
    <t>Top Curve Flag</t>
  </si>
  <si>
    <t>Size : 300 x 75cm</t>
  </si>
  <si>
    <t>24-0005R</t>
  </si>
  <si>
    <t>X Banner</t>
  </si>
  <si>
    <t>Size: 160x60cm</t>
  </si>
  <si>
    <t>24-0006R</t>
  </si>
  <si>
    <t>AVM Labs</t>
  </si>
  <si>
    <t xml:space="preserve">Flyer </t>
  </si>
  <si>
    <t>Size: A5 , A4 , 150 gsm art glossy paper</t>
  </si>
  <si>
    <t>24-0007</t>
  </si>
  <si>
    <t>Bianca &amp; Bianco</t>
  </si>
  <si>
    <t>Special paper 350+350 pasted</t>
  </si>
  <si>
    <t xml:space="preserve">200x2 Names </t>
  </si>
  <si>
    <t>24-0017</t>
  </si>
  <si>
    <t>Casaire</t>
  </si>
  <si>
    <t xml:space="preserve">Business Cards ,  Polo Shirts </t>
  </si>
  <si>
    <t>350gsm art matt paper , 2 side printing</t>
  </si>
  <si>
    <t>24-0009</t>
  </si>
  <si>
    <t>GRAND STAR ALUMINUM &amp; GLASS L.L.C</t>
  </si>
  <si>
    <t>Wooden Board</t>
  </si>
  <si>
    <t>Size: 800x 600x10mm</t>
  </si>
  <si>
    <t>24-0006</t>
  </si>
  <si>
    <t>24-0010</t>
  </si>
  <si>
    <t>New Links</t>
  </si>
  <si>
    <t xml:space="preserve">Office Branding - Corridor 1 , 3D Acrylic logo </t>
  </si>
  <si>
    <t>Glass/Wall brandin</t>
  </si>
  <si>
    <t>24-0011</t>
  </si>
  <si>
    <t>JUBAILI BROS S.A.L</t>
  </si>
  <si>
    <t>Acrylic Box</t>
  </si>
  <si>
    <t>2.8mm clear acrylic cover</t>
  </si>
  <si>
    <t>24-0012</t>
  </si>
  <si>
    <t>Greenfield Logistics Services LLC</t>
  </si>
  <si>
    <t>Polo Shirt</t>
  </si>
  <si>
    <t>Fabric: Mesh polyester</t>
  </si>
  <si>
    <t>24-0013</t>
  </si>
  <si>
    <t>Pilipinas Express Cargo</t>
  </si>
  <si>
    <t xml:space="preserve">Business card , Wooden Plaque, Certificate Frame Holder, Certificate, Graduation Gown and caps, Medal , Roll up , Trifold Flyer , Packaging Tape </t>
  </si>
  <si>
    <t xml:space="preserve">350gsm art matt paper , Size : 23.7 x 19 cm ,Size : 20 x 15cm ,Size : 21 x 30cm, </t>
  </si>
  <si>
    <t>GLEN</t>
  </si>
  <si>
    <t>24-0014</t>
  </si>
  <si>
    <t>Mizba Gent Saloon</t>
  </si>
  <si>
    <t>Light Box (Outdoor), Replacing Flex on existing Lightbox,LED Display Board</t>
  </si>
  <si>
    <t>Size: 75x40cm</t>
  </si>
  <si>
    <t>24-0015</t>
  </si>
  <si>
    <t>Dubai Marine Beach Resort &amp; SPA Hotel</t>
  </si>
  <si>
    <t>Stickers f</t>
  </si>
  <si>
    <t>Villa side outside door , Main Entrance</t>
  </si>
  <si>
    <t>24-0016</t>
  </si>
  <si>
    <t>Stellar Advertising LLC - AAG</t>
  </si>
  <si>
    <t>Baseball cap (kids)</t>
  </si>
  <si>
    <t xml:space="preserve">Color : white , Branding: 1 color logo printing in 1 position </t>
  </si>
  <si>
    <t>Kayali Company</t>
  </si>
  <si>
    <t xml:space="preserve">Bag, Water Bottle, Round Neck T shirts, Caps </t>
  </si>
  <si>
    <t>Size : 48x35x13.5 cm</t>
  </si>
  <si>
    <t>24-0018</t>
  </si>
  <si>
    <t>Karcher Middle East (FZE)</t>
  </si>
  <si>
    <t>Polo Shirts</t>
  </si>
  <si>
    <t>Fabric: Honeycomb , Color : Black &amp; White</t>
  </si>
  <si>
    <t>24-0019R1</t>
  </si>
  <si>
    <t>Amani Group</t>
  </si>
  <si>
    <t>Metal Pen , Signage</t>
  </si>
  <si>
    <t>Color : Blue , Branding : With logo engraving , Size: 30.2(w) x 10(h) cm</t>
  </si>
  <si>
    <t>24-0039</t>
  </si>
  <si>
    <t>24-0020R2</t>
  </si>
  <si>
    <t xml:space="preserve">AUSTRAL INTERNATIONAL DMCC </t>
  </si>
  <si>
    <t xml:space="preserve">Customized Small Envelope , Letter Head </t>
  </si>
  <si>
    <t>120gsm woodfree paper , 100gsm Conqueror Paper</t>
  </si>
  <si>
    <t>24-0046</t>
  </si>
  <si>
    <t>24-0021</t>
  </si>
  <si>
    <t>Drawstring Bags</t>
  </si>
  <si>
    <t xml:space="preserve">Color : Green, Red, Orange, Black, Yellow , White </t>
  </si>
  <si>
    <t>24-0022</t>
  </si>
  <si>
    <t xml:space="preserve">Rice Me Up Restuarnt </t>
  </si>
  <si>
    <t>Polo Shirt (Customized)</t>
  </si>
  <si>
    <t>Color: Red/Black</t>
  </si>
  <si>
    <t>24-0023</t>
  </si>
  <si>
    <t>Home Nursing Care Services</t>
  </si>
  <si>
    <t>350gsm Art matt Paper</t>
  </si>
  <si>
    <t>24-0024</t>
  </si>
  <si>
    <t>ONELINE Attestation and Consulates Services</t>
  </si>
  <si>
    <t>24-0025</t>
  </si>
  <si>
    <t>Logic Utilities</t>
  </si>
  <si>
    <t>Rubber Stamp</t>
  </si>
  <si>
    <t>As per the picture</t>
  </si>
  <si>
    <t>24-0026</t>
  </si>
  <si>
    <t>THE WARDROBE</t>
  </si>
  <si>
    <t>Kraft Paper Bag</t>
  </si>
  <si>
    <t>Color : White , Paper: 120gsm kraft paper</t>
  </si>
  <si>
    <t>24-0027R2</t>
  </si>
  <si>
    <t>Tote Bags, Metal Pen, Sticker, A4 Flyers , MBA Flyer - Trifold</t>
  </si>
  <si>
    <t>Size: 38x42cm , Color : Black, Size: 6.35 cm dia</t>
  </si>
  <si>
    <t>24-0062</t>
  </si>
  <si>
    <t>24-0028</t>
  </si>
  <si>
    <t xml:space="preserve">Bucket Hat </t>
  </si>
  <si>
    <t>Color: White , Branding: 1 position, 1 color logo printing</t>
  </si>
  <si>
    <t>24-0029</t>
  </si>
  <si>
    <t>Trane BVBA - Abu Dhabi</t>
  </si>
  <si>
    <t xml:space="preserve">Business Card ( Mohamed Ben Hamouda  ) </t>
  </si>
  <si>
    <t xml:space="preserve">Special paper , 4/1 printing </t>
  </si>
  <si>
    <t>24-0030</t>
  </si>
  <si>
    <t xml:space="preserve">Display Stand </t>
  </si>
  <si>
    <t>Size: 180cm (h) x 80cm (w) x 7cm (d)</t>
  </si>
  <si>
    <t>24-0044</t>
  </si>
  <si>
    <t>24-0031</t>
  </si>
  <si>
    <t>Ms. Angel</t>
  </si>
  <si>
    <t>Birthday Tarpaulin</t>
  </si>
  <si>
    <t>Size: 2ft x 3ft , With eyelets</t>
  </si>
  <si>
    <t>24-0032</t>
  </si>
  <si>
    <t xml:space="preserve">Mead Medical </t>
  </si>
  <si>
    <t>NCR Book</t>
  </si>
  <si>
    <t>Service Report Book</t>
  </si>
  <si>
    <t>24-0033R</t>
  </si>
  <si>
    <t>Ms. Maria</t>
  </si>
  <si>
    <t>Round neck Tshirt (Customized)</t>
  </si>
  <si>
    <t xml:space="preserve">Color: Black , Material : Cotton </t>
  </si>
  <si>
    <t>24-0034</t>
  </si>
  <si>
    <t>Emirates for Universal Tyres</t>
  </si>
  <si>
    <t xml:space="preserve">Business Cards ( Rineesh Ali ) </t>
  </si>
  <si>
    <t>350gsm art matt paper</t>
  </si>
  <si>
    <t>24-0035R3</t>
  </si>
  <si>
    <t>Radiometer Medical ApS</t>
  </si>
  <si>
    <t>RFID Sliding Card Holder, Wood &amp; Crystal Trophy, Wooden Trophy with Diamond shape Crystal on Top, Non Woven Bag ( A5 - Vertical )</t>
  </si>
  <si>
    <t xml:space="preserve">Color : Dark Grey, Size : 18 x 16cm, Size : 75x75x280 mm , Color : White </t>
  </si>
  <si>
    <t>24-0060</t>
  </si>
  <si>
    <t>24-0036</t>
  </si>
  <si>
    <t>Somerset Clinic FZ LLC</t>
  </si>
  <si>
    <t>A5 Flyer</t>
  </si>
  <si>
    <t>250gsm art glossy paper</t>
  </si>
  <si>
    <t>24-0037</t>
  </si>
  <si>
    <t xml:space="preserve">Stellar Advertising LLC - JBS </t>
  </si>
  <si>
    <t>Outdoor branding (JBS)</t>
  </si>
  <si>
    <t>Material: Aluminium frame with</t>
  </si>
  <si>
    <t>24-0038</t>
  </si>
  <si>
    <t>Binghatti Holdings</t>
  </si>
  <si>
    <t>Wrist Tag</t>
  </si>
  <si>
    <t>Size : 35cm x 1.5cm</t>
  </si>
  <si>
    <t>GrokGlobal Services</t>
  </si>
  <si>
    <t>Hoodie</t>
  </si>
  <si>
    <t>Colors: Maroon / Grey / White</t>
  </si>
  <si>
    <t>24-0040</t>
  </si>
  <si>
    <t>Vacuum Insulated Mug with bamboo lid , Set of Lunch Box and Vacuum Bottle, Jute Bag, Recycled Multi-Cable Set , Recycled Leather 10000mAh PD Powerbank, 3 in 1 Wireless Charger with Desk Lamp,TWS UV-C Earbuds with Sterilization Case</t>
  </si>
  <si>
    <t>Content: 300ml, Double wall stainless steel insulating vacuum flask, Jute and canvas combination tote bag with jute handles, Multi-cable set with charging cables for all essential connections, Sustainable 5-in-1 charging cable made with cork ,Color : White / Tan</t>
  </si>
  <si>
    <t>24-0041</t>
  </si>
  <si>
    <t>Stellar Advertising LLC - DBS Jumeira</t>
  </si>
  <si>
    <t>Table Runner , Rollup Banners, Pop up</t>
  </si>
  <si>
    <t>Size: 214.5x60cm , Size: 200x85cm</t>
  </si>
  <si>
    <t>24-0042</t>
  </si>
  <si>
    <t>Ausnutria Nutrition Middle East LLC</t>
  </si>
  <si>
    <t>Paper Cups , Lids (If required)</t>
  </si>
  <si>
    <t>8oz Single Wall , Material: 300 gsm pe coated</t>
  </si>
  <si>
    <t>24-0043</t>
  </si>
  <si>
    <t xml:space="preserve">Repair of 2 Trophies </t>
  </si>
  <si>
    <t>Clear Crystal + Black base</t>
  </si>
  <si>
    <t>24-0045</t>
  </si>
  <si>
    <t xml:space="preserve">Ingersoll-Rand Technical and Services </t>
  </si>
  <si>
    <t xml:space="preserve">350 +350 gsm pasted art matt paper </t>
  </si>
  <si>
    <t>24-0020</t>
  </si>
  <si>
    <t>350 gsm art matt with lamination</t>
  </si>
  <si>
    <t>24-0046R</t>
  </si>
  <si>
    <t xml:space="preserve">EVCam </t>
  </si>
  <si>
    <t>Brochure Stand</t>
  </si>
  <si>
    <t xml:space="preserve">A4 Size , Zig Zag model </t>
  </si>
  <si>
    <t>24-0047</t>
  </si>
  <si>
    <t>Business Cards</t>
  </si>
  <si>
    <t>24-0048R</t>
  </si>
  <si>
    <t xml:space="preserve">Stellar Advertising LLC - Raha School </t>
  </si>
  <si>
    <t xml:space="preserve">Curvetop Flags with the transportation </t>
  </si>
  <si>
    <t>Flag size : 300 x 85cm</t>
  </si>
  <si>
    <t>24-0049</t>
  </si>
  <si>
    <t>IDP EDUCATION L.L.C</t>
  </si>
  <si>
    <t xml:space="preserve">Rubber Stamp </t>
  </si>
  <si>
    <t xml:space="preserve">ORIGINAL TRUE COPY SIGHTED BY , New Address </t>
  </si>
  <si>
    <t>24-0050</t>
  </si>
  <si>
    <t xml:space="preserve">Roll up , A3 Posters, Certificates </t>
  </si>
  <si>
    <t>Size : 200x85cm , Two side tape at the back</t>
  </si>
  <si>
    <t>24-0027</t>
  </si>
  <si>
    <t>24-0051R2</t>
  </si>
  <si>
    <t>Gulftainer</t>
  </si>
  <si>
    <t>Backpack</t>
  </si>
  <si>
    <t>Color : Blue / Black , Oxford material</t>
  </si>
  <si>
    <t>24-0052</t>
  </si>
  <si>
    <t>A4 Envelop</t>
  </si>
  <si>
    <t>2 color printing, 1 side</t>
  </si>
  <si>
    <t>24-0053</t>
  </si>
  <si>
    <t xml:space="preserve">Gift Box ( Ceramic Mug, Polo Shirt, Water Bottle ) </t>
  </si>
  <si>
    <t>Size : 33 (w) x 23 (h) x 11 (d) cm</t>
  </si>
  <si>
    <t>24-0054</t>
  </si>
  <si>
    <t>Al Rashed Group</t>
  </si>
  <si>
    <t>Metal Pen</t>
  </si>
  <si>
    <t xml:space="preserve">Color : Blue </t>
  </si>
  <si>
    <t>24-0055</t>
  </si>
  <si>
    <t>Healy Consultants Group</t>
  </si>
  <si>
    <t>350 gsm art matt paper</t>
  </si>
  <si>
    <t>24-0056</t>
  </si>
  <si>
    <t>A-Technologies FZCO</t>
  </si>
  <si>
    <t>Prints for Gift Box</t>
  </si>
  <si>
    <t xml:space="preserve">Size : A5 , 350gsm art matt paper </t>
  </si>
  <si>
    <t>24-0057</t>
  </si>
  <si>
    <t>Global Knowledge</t>
  </si>
  <si>
    <t>Letterhead</t>
  </si>
  <si>
    <t>Paper: Conqueror Laid</t>
  </si>
  <si>
    <t>24-0058</t>
  </si>
  <si>
    <t>Spiral Notebook</t>
  </si>
  <si>
    <t>Size : A5 , Cover : 350 gsm art matt paper</t>
  </si>
  <si>
    <t>24-0059</t>
  </si>
  <si>
    <t xml:space="preserve">Plastic Pen </t>
  </si>
  <si>
    <t xml:space="preserve">Color - Blue, Branding : 1 color logo printing in 1 position </t>
  </si>
  <si>
    <t>Trane Technologies</t>
  </si>
  <si>
    <t>Business Cards ( Darshit B. Kapadiwala, Ahmed Hamid)</t>
  </si>
  <si>
    <t>Special paper , 4/1 printing</t>
  </si>
  <si>
    <t>24-0061R</t>
  </si>
  <si>
    <t>First and Ten Productions LLC</t>
  </si>
  <si>
    <t>2 Tone Mug</t>
  </si>
  <si>
    <t>Color : White with black</t>
  </si>
  <si>
    <t xml:space="preserve">Stellar Advertising LLC - Charter School </t>
  </si>
  <si>
    <t xml:space="preserve">Brochure , Roll Up </t>
  </si>
  <si>
    <t>A4 size, Total 16 pages</t>
  </si>
  <si>
    <t>24-0063</t>
  </si>
  <si>
    <t>Hari-Bhari</t>
  </si>
  <si>
    <t>Color: Sage Green</t>
  </si>
  <si>
    <t>24-0064R1</t>
  </si>
  <si>
    <t>BorgRollsWarner Middle East LLC</t>
  </si>
  <si>
    <t>A5 Note Book , Premium Metal Pens, Cap , Wireless Charger Multi - Cable Set</t>
  </si>
  <si>
    <t>Color: Navy Blue , Color : Navy Blue , Size: 13 x 21 cm</t>
  </si>
  <si>
    <t>24-0065</t>
  </si>
  <si>
    <t>Crystal Trophy</t>
  </si>
  <si>
    <t>Size : Top - 15 cm, Base - 4 cm</t>
  </si>
  <si>
    <t>24-0033</t>
  </si>
  <si>
    <t>24-0066R</t>
  </si>
  <si>
    <t xml:space="preserve">Business cards , A4 Desktop </t>
  </si>
  <si>
    <t>400gsm art matt paper</t>
  </si>
  <si>
    <t>24-0067</t>
  </si>
  <si>
    <t>Leaders Fort Real Estate</t>
  </si>
  <si>
    <t>2 Tone Mug , Business Card</t>
  </si>
  <si>
    <t>24-0068</t>
  </si>
  <si>
    <t>Edel &amp; Stark Luxury Car Rental</t>
  </si>
  <si>
    <t xml:space="preserve">Flyer, Business Card </t>
  </si>
  <si>
    <t>Size : A4 , 300gsm conqueror paper</t>
  </si>
  <si>
    <t>24-0069</t>
  </si>
  <si>
    <t>RIF Trust</t>
  </si>
  <si>
    <t>Ceramic Mug with Lid and Cork base</t>
  </si>
  <si>
    <t>Capacity : 385ml</t>
  </si>
  <si>
    <t>24-0070</t>
  </si>
  <si>
    <t>Santhome 10W MagSafe A5 Organizer</t>
  </si>
  <si>
    <t xml:space="preserve">Color : Beige , Branding : Full color logo printing at one position </t>
  </si>
  <si>
    <t>24-0071</t>
  </si>
  <si>
    <t>Service award certificates</t>
  </si>
  <si>
    <t>Size: A4 , Special Paper</t>
  </si>
  <si>
    <t>24-0051</t>
  </si>
  <si>
    <t>24-0072R1</t>
  </si>
  <si>
    <t>Al Wehda Properties</t>
  </si>
  <si>
    <t xml:space="preserve">A4 Pocket Folder , A4 , DL Envelopes, Pens , Ceramic Mugs </t>
  </si>
  <si>
    <t>350gsm art paper</t>
  </si>
  <si>
    <t>24-0115</t>
  </si>
  <si>
    <t>24-0073R1</t>
  </si>
  <si>
    <t>Receipt Voucher Book</t>
  </si>
  <si>
    <t xml:space="preserve">Size : A5 , </t>
  </si>
  <si>
    <t>24-0074R1</t>
  </si>
  <si>
    <t>Shory</t>
  </si>
  <si>
    <t>Big Card, Small Card, Thank you cards</t>
  </si>
  <si>
    <t>350 gsm art matt paper , Open Size: 30 x 15 cm</t>
  </si>
  <si>
    <t>24-0126</t>
  </si>
  <si>
    <t>24-0075R2</t>
  </si>
  <si>
    <t xml:space="preserve">Scholars International Group </t>
  </si>
  <si>
    <t>Paper Cups with Lids</t>
  </si>
  <si>
    <t>12oz Double Wall</t>
  </si>
  <si>
    <t>24-0072</t>
  </si>
  <si>
    <t>24-0076R</t>
  </si>
  <si>
    <t xml:space="preserve">ARAM PRECIOUS METALS </t>
  </si>
  <si>
    <t xml:space="preserve">100gsm Conqueror Paper </t>
  </si>
  <si>
    <t>24-0077R1</t>
  </si>
  <si>
    <t>Al Naser International FZE</t>
  </si>
  <si>
    <t>24-0048</t>
  </si>
  <si>
    <t>24-0078</t>
  </si>
  <si>
    <t xml:space="preserve">LAYAN TRADING FZE </t>
  </si>
  <si>
    <t>24-0079R</t>
  </si>
  <si>
    <t>Receipts</t>
  </si>
  <si>
    <t>Size : A5 , 100gsm conqueror laid paper</t>
  </si>
  <si>
    <t>24-0090</t>
  </si>
  <si>
    <t>24-0080</t>
  </si>
  <si>
    <t xml:space="preserve">Stellar Advertising LLC - DBSJ </t>
  </si>
  <si>
    <t xml:space="preserve">Table Cloth , Table Runner </t>
  </si>
  <si>
    <t>Size : 147.5(w) x 277(h) cm , Size: 60(w) x 277(h) cm</t>
  </si>
  <si>
    <t>24-0081</t>
  </si>
  <si>
    <t>Round Neck Tshirts (Customized)</t>
  </si>
  <si>
    <t xml:space="preserve">Fabric: Polyester </t>
  </si>
  <si>
    <t>24-0082</t>
  </si>
  <si>
    <t>Blu Orbit</t>
  </si>
  <si>
    <t>Designing Charges</t>
  </si>
  <si>
    <t>24 pages A4 size</t>
  </si>
  <si>
    <t>24-0083R</t>
  </si>
  <si>
    <t>Sea Centre Shipping Services LLC</t>
  </si>
  <si>
    <t>Recycled 15W Wireless Charger Multi - Cable Set</t>
  </si>
  <si>
    <t>Size: 8.3 x 8.3 x 1.0 cm</t>
  </si>
  <si>
    <t>24-0084</t>
  </si>
  <si>
    <t xml:space="preserve">Stellar Advertising LLC - UIS </t>
  </si>
  <si>
    <t>Yearbook - UIS (Senior Yearbook )</t>
  </si>
  <si>
    <t>Size: A4 Portrait</t>
  </si>
  <si>
    <t>24-0085</t>
  </si>
  <si>
    <t xml:space="preserve">Bunting </t>
  </si>
  <si>
    <t>Size: 16m x 6 lanes</t>
  </si>
  <si>
    <t>24-0086R</t>
  </si>
  <si>
    <t>Stellar Advertising LLC - Sheikha Mariam School</t>
  </si>
  <si>
    <t xml:space="preserve">Fabric : Mesh Polyester </t>
  </si>
  <si>
    <t>24-0087</t>
  </si>
  <si>
    <t xml:space="preserve">Round Neck T-Shirts </t>
  </si>
  <si>
    <t>Age Group: 12 years - kids</t>
  </si>
  <si>
    <t>24-0088</t>
  </si>
  <si>
    <t>United Arab Bank</t>
  </si>
  <si>
    <t>Exhibition Stand</t>
  </si>
  <si>
    <t>Date : 5th February 2024</t>
  </si>
  <si>
    <t>24-0089</t>
  </si>
  <si>
    <t>The Woolwich Institute</t>
  </si>
  <si>
    <t>Non Woven Bag ( Like REA's )</t>
  </si>
  <si>
    <t>Size: 35cm (h) x 26cm (w )x 12cm (d)</t>
  </si>
  <si>
    <t>Signage - Italian Furniture (without light)</t>
  </si>
  <si>
    <t>Size: 320x23.93cm</t>
  </si>
  <si>
    <t>24-0091R1</t>
  </si>
  <si>
    <t>Medvarsity Event Management</t>
  </si>
  <si>
    <t xml:space="preserve">Brochure , Roll up , Certificate, Id Pass , Lanyard, Pop up , Crystal Trophy , Tote Bag </t>
  </si>
  <si>
    <t>Size A4 , Size : 200 x 85cm , 350gsm art matt paper</t>
  </si>
  <si>
    <t>24-0094</t>
  </si>
  <si>
    <t xml:space="preserve">Business Cards ( Varghese Mathew ) </t>
  </si>
  <si>
    <t>24-0095</t>
  </si>
  <si>
    <t xml:space="preserve">Business Cards ( Waleed Asfour ) </t>
  </si>
  <si>
    <t>24-0096R</t>
  </si>
  <si>
    <t xml:space="preserve">Photographic Images , Frames </t>
  </si>
  <si>
    <t>Size: A3 , Material: Photo paper glossy , Size : A3 , A2</t>
  </si>
  <si>
    <t>24-0097R1</t>
  </si>
  <si>
    <t>GRS-certified Recycled Cotton Duffel / Gym Bag</t>
  </si>
  <si>
    <t xml:space="preserve">Watch, Bottle, Tshirt , Cap , Face / Hand Towel </t>
  </si>
  <si>
    <t>24-0098</t>
  </si>
  <si>
    <t xml:space="preserve">Luxe Haven Real Estate </t>
  </si>
  <si>
    <t>Business Card, Advertising Flag</t>
  </si>
  <si>
    <t xml:space="preserve">350 + 350 gsm pasted art matt paper </t>
  </si>
  <si>
    <t>24-0099R</t>
  </si>
  <si>
    <t>PHARMAPAL</t>
  </si>
  <si>
    <t>Pop UP Banner (Curved)</t>
  </si>
  <si>
    <t xml:space="preserve">Size : 3 x 2m </t>
  </si>
  <si>
    <t>24-0100</t>
  </si>
  <si>
    <t>Fabric - Drifit Polyester</t>
  </si>
  <si>
    <t>24-0101R1</t>
  </si>
  <si>
    <t xml:space="preserve">400 gsm art matt paper </t>
  </si>
  <si>
    <t>24-0102</t>
  </si>
  <si>
    <t>Dubai Event  25-Jan-24 , Al Ain  Event  26-Jan-24</t>
  </si>
  <si>
    <t xml:space="preserve">Mascot Attendant (Duration: 4 hours)  </t>
  </si>
  <si>
    <t>24-0103R2</t>
  </si>
  <si>
    <t>Dunecrest American School</t>
  </si>
  <si>
    <t xml:space="preserve">Flag, Lanyard, Certificate Holder, Notebook, Non Woven Bag </t>
  </si>
  <si>
    <t xml:space="preserve">Size : 90 x 60cm , Color : Orange and Maroon </t>
  </si>
  <si>
    <t>24-0104</t>
  </si>
  <si>
    <t>Notebook</t>
  </si>
  <si>
    <t>Size : A5</t>
  </si>
  <si>
    <t>24-0105</t>
  </si>
  <si>
    <t>Crescent Real Estate</t>
  </si>
  <si>
    <t>Material : Drifit Ployester , Color: Black</t>
  </si>
  <si>
    <t>24-0108</t>
  </si>
  <si>
    <t>24-0106</t>
  </si>
  <si>
    <t>Azalee Flower Boutique</t>
  </si>
  <si>
    <t>Paper Bag</t>
  </si>
  <si>
    <t>Size: 25 x 25 x 25 cm</t>
  </si>
  <si>
    <t>24-0107</t>
  </si>
  <si>
    <t xml:space="preserve">Business Cards ( Madhu Mala ) </t>
  </si>
  <si>
    <t xml:space="preserve">400gsm art matt paper </t>
  </si>
  <si>
    <t>24-0108R</t>
  </si>
  <si>
    <t xml:space="preserve">Edel &amp; Stark Luxury Car Rental </t>
  </si>
  <si>
    <t>Glass Door Sticker ( Plotter Cut Sticker )</t>
  </si>
  <si>
    <t>Door Size : 232 x 100cm</t>
  </si>
  <si>
    <t>24-0109</t>
  </si>
  <si>
    <t xml:space="preserve">VENKTRON </t>
  </si>
  <si>
    <t xml:space="preserve">Plotter Cut Sticker , Laboratory Coat ( Customized ) , Polo Shirt, Packaging Tape, Business Cards </t>
  </si>
  <si>
    <t xml:space="preserve">PVC With UV Protection , Color Blue , With embroidery at the front , Back and Right Sleeve </t>
  </si>
  <si>
    <t>24-0110</t>
  </si>
  <si>
    <t>Evolution Event</t>
  </si>
  <si>
    <t>Stainless Steel Vacuum Bottle with Loop</t>
  </si>
  <si>
    <t xml:space="preserve">Color : Navy Blue </t>
  </si>
  <si>
    <t>24-0111R1</t>
  </si>
  <si>
    <t>As per the sample</t>
  </si>
  <si>
    <t>24-0112</t>
  </si>
  <si>
    <t>Flyers</t>
  </si>
  <si>
    <t xml:space="preserve">Size: A4, 250gsm art glossy paper </t>
  </si>
  <si>
    <t>24-0113R4</t>
  </si>
  <si>
    <t xml:space="preserve"> GrokGlobal Services</t>
  </si>
  <si>
    <t>Notebook and Pen, Jute Bag</t>
  </si>
  <si>
    <t>Printing on notebook and pen , Size : 45 x 36 x 15 cm</t>
  </si>
  <si>
    <t>24-0147</t>
  </si>
  <si>
    <t>24-0114</t>
  </si>
  <si>
    <t>Island Tuckshop Pvt Ltd</t>
  </si>
  <si>
    <t>Corporate Media Kit</t>
  </si>
  <si>
    <t xml:space="preserve">Logo Creation , Company Profile, Business card, Email signature , Letterhead </t>
  </si>
  <si>
    <t>24-0073</t>
  </si>
  <si>
    <t>24-0115R</t>
  </si>
  <si>
    <t>Aurantius Real Estate</t>
  </si>
  <si>
    <t xml:space="preserve">Business Card, Pocket Folder, Letterhead </t>
  </si>
  <si>
    <t>24-0116</t>
  </si>
  <si>
    <t>SThree Pte Ltd</t>
  </si>
  <si>
    <t>Anti Stress Balls</t>
  </si>
  <si>
    <t>Color: White / Black / Green / Red / Blue</t>
  </si>
  <si>
    <t>24-0117</t>
  </si>
  <si>
    <t>Vintage Grand Hotel</t>
  </si>
  <si>
    <t xml:space="preserve">Size : A5 , 170gsm art glossy paper </t>
  </si>
  <si>
    <t>24-0118R1</t>
  </si>
  <si>
    <t xml:space="preserve">Gulf O Flex </t>
  </si>
  <si>
    <t>Designing of GOF Material Submittal</t>
  </si>
  <si>
    <t xml:space="preserve">Size: 21.59 x 27.94cm </t>
  </si>
  <si>
    <t>24-0119R2</t>
  </si>
  <si>
    <t xml:space="preserve">Color : White </t>
  </si>
  <si>
    <t>24-0061</t>
  </si>
  <si>
    <t>24-0120</t>
  </si>
  <si>
    <t xml:space="preserve">EDUCATION PATHWAY </t>
  </si>
  <si>
    <t>Plastic Pen, Spiral Notebook , Flyers , PVC ID Cards</t>
  </si>
  <si>
    <t xml:space="preserve">Color : Blue , Cover : 350 gsm art matt paper </t>
  </si>
  <si>
    <t>24-0121R</t>
  </si>
  <si>
    <t>MACS-G SOLUTION</t>
  </si>
  <si>
    <t>Round Moon Crystal Awards with Wooden Base</t>
  </si>
  <si>
    <t>Material: Crystal and Wood</t>
  </si>
  <si>
    <t>24-0122R</t>
  </si>
  <si>
    <t xml:space="preserve">BorgRollsWarner Middle East LLC </t>
  </si>
  <si>
    <t>Gift box (Notebook / Metal Pen )</t>
  </si>
  <si>
    <t xml:space="preserve">Size: 15.5cmx17.2cmx2cm height </t>
  </si>
  <si>
    <t>24-0077</t>
  </si>
  <si>
    <t>24-0123</t>
  </si>
  <si>
    <t>Santhome Recycled 6 Panel Adjustable Cap</t>
  </si>
  <si>
    <t>24-0124R</t>
  </si>
  <si>
    <t xml:space="preserve">Clivet Mideast </t>
  </si>
  <si>
    <t>Flex to be changed for existing light box</t>
  </si>
  <si>
    <t xml:space="preserve">Size: (Height) 380 x (Width) 2085cm </t>
  </si>
  <si>
    <t>MELVIN</t>
  </si>
  <si>
    <t>24-0125R</t>
  </si>
  <si>
    <t>Continental Middle East DMCC</t>
  </si>
  <si>
    <t xml:space="preserve">Trophy </t>
  </si>
  <si>
    <t>Size: 19cm(h)x16cm(w)</t>
  </si>
  <si>
    <t>24-0126R</t>
  </si>
  <si>
    <t>BMC Software</t>
  </si>
  <si>
    <t>Trophy</t>
  </si>
  <si>
    <t xml:space="preserve">Size: 28cm height </t>
  </si>
  <si>
    <t>24-0127</t>
  </si>
  <si>
    <t>Size: 7 x 2 cm , Size: 7 x 3.5 cm</t>
  </si>
  <si>
    <t>24-0128R</t>
  </si>
  <si>
    <t>Nathan and Nathan Human Resources Consultancy</t>
  </si>
  <si>
    <t>Parking Signage</t>
  </si>
  <si>
    <t>Size : 178cm × 13cm ( width x height)</t>
  </si>
  <si>
    <t>24-0129</t>
  </si>
  <si>
    <t xml:space="preserve">Linkwell Company </t>
  </si>
  <si>
    <t>Name Badge - Metal , A5 PU Notebook  , Memo Note (Top Glue) With Cover</t>
  </si>
  <si>
    <t>Engraving with color filling</t>
  </si>
  <si>
    <t>24-0130</t>
  </si>
  <si>
    <t xml:space="preserve">Stellar Advertising LLC - DBSJP </t>
  </si>
  <si>
    <t>A5 Booklet - DBSJP (Dec/Jan)</t>
  </si>
  <si>
    <t>Total pages: 24</t>
  </si>
  <si>
    <t>24-0131</t>
  </si>
  <si>
    <t xml:space="preserve">SPECIALISED SPORTS EQUIPMENT LLC </t>
  </si>
  <si>
    <t>Outdoor signage ( Rear fence)</t>
  </si>
  <si>
    <t xml:space="preserve">Size: 7.5m(w) x 2.5m(h) </t>
  </si>
  <si>
    <t>24-0132</t>
  </si>
  <si>
    <t xml:space="preserve">Gift Voucher </t>
  </si>
  <si>
    <t xml:space="preserve">Size: 10x15cm </t>
  </si>
  <si>
    <t>24-0133</t>
  </si>
  <si>
    <t>Lanyards , Giftology A5 Notebook With Pen Set (White)</t>
  </si>
  <si>
    <t>Color: White</t>
  </si>
  <si>
    <t>24-0134</t>
  </si>
  <si>
    <t>Noor Islam Passenger Transport</t>
  </si>
  <si>
    <t xml:space="preserve">Wall Branding </t>
  </si>
  <si>
    <t xml:space="preserve">Size : 368 x 310 cm </t>
  </si>
  <si>
    <t>24-0135</t>
  </si>
  <si>
    <t>Via Tonic LLC</t>
  </si>
  <si>
    <t>Box</t>
  </si>
  <si>
    <t xml:space="preserve">Open Size: 36.7 x 55.5 cm </t>
  </si>
  <si>
    <t>24-0136</t>
  </si>
  <si>
    <t>Enara Properties</t>
  </si>
  <si>
    <t>Company Profile - Designing Charges</t>
  </si>
  <si>
    <t xml:space="preserve">2 pages of A4 </t>
  </si>
  <si>
    <t>24-0137</t>
  </si>
  <si>
    <t>Orthopro Clinic</t>
  </si>
  <si>
    <t>Instagram Frame , Acrylic Display</t>
  </si>
  <si>
    <t xml:space="preserve">Size: 90x72 cm </t>
  </si>
  <si>
    <t>24-0138</t>
  </si>
  <si>
    <t>Business card</t>
  </si>
  <si>
    <t>Size : 9 x 5cm</t>
  </si>
  <si>
    <t>24-0139</t>
  </si>
  <si>
    <t xml:space="preserve">Stellar Advertising LLC - Taaleem </t>
  </si>
  <si>
    <t xml:space="preserve">Backdrop </t>
  </si>
  <si>
    <t>Material: Aluminium Alloy</t>
  </si>
  <si>
    <t>24-0140</t>
  </si>
  <si>
    <t>FOAM BOARD PRINTING , ROLL UP BANNER</t>
  </si>
  <si>
    <t>Size: 3.6 × 0.75m</t>
  </si>
  <si>
    <t>24-0141</t>
  </si>
  <si>
    <t xml:space="preserve">ETON INSTITUTE </t>
  </si>
  <si>
    <t xml:space="preserve">Pen, Flyer , Brouchure , Voucher , Non woven bag , Roll up , Pop Up </t>
  </si>
  <si>
    <t>Branding: 1 Color Printing at 1 Position , Paper 250 gsm art matt paper</t>
  </si>
  <si>
    <t>24-0142</t>
  </si>
  <si>
    <t>SPH Holdings</t>
  </si>
  <si>
    <t>White Ribbon (Polyester)</t>
  </si>
  <si>
    <t>Thickness 1.5cm</t>
  </si>
  <si>
    <t>24-0143</t>
  </si>
  <si>
    <t>Purple Patch Fashions &amp; Designs LLC</t>
  </si>
  <si>
    <t>Cash Bill , Rubber Stamp (Self Ink)</t>
  </si>
  <si>
    <t>A5 1+2, white pink and yellow</t>
  </si>
  <si>
    <t>24-0144R1</t>
  </si>
  <si>
    <t>Gift Voucher</t>
  </si>
  <si>
    <t>24-0145</t>
  </si>
  <si>
    <t>Showroom Signage Change</t>
  </si>
  <si>
    <t xml:space="preserve">Size: 16cm(h)x27cm(w) </t>
  </si>
  <si>
    <t>24-0146R</t>
  </si>
  <si>
    <t>Sampling Charges</t>
  </si>
  <si>
    <t>Cards - 3 artworks</t>
  </si>
  <si>
    <t>24-0148R1</t>
  </si>
  <si>
    <t>Holo Mortgage Consultant</t>
  </si>
  <si>
    <t>24-0075</t>
  </si>
  <si>
    <t>24-0149R</t>
  </si>
  <si>
    <t>4 in 1 Charging cable</t>
  </si>
  <si>
    <t>With iPhone,Micro usb,USB,type C Length</t>
  </si>
  <si>
    <t>24-0079</t>
  </si>
  <si>
    <t>24-0150R</t>
  </si>
  <si>
    <t>Trophy - North Africa</t>
  </si>
  <si>
    <t>Base size: 21cmx10cmx2cm(h)</t>
  </si>
  <si>
    <t>24-0151</t>
  </si>
  <si>
    <t>Rollup Banners (Roadshow), A4 Flyer, A3 Poster</t>
  </si>
  <si>
    <t>Size: 200x85cm , 250gsm art glossy paper</t>
  </si>
  <si>
    <t>24-0076</t>
  </si>
  <si>
    <t>24-0152</t>
  </si>
  <si>
    <t>Trophy - 10 years of  Partnership - Al Fardan Group</t>
  </si>
  <si>
    <t>Size: 15.5cm(h)x18cm(w)</t>
  </si>
  <si>
    <t>24-0083</t>
  </si>
  <si>
    <t>24-0153R</t>
  </si>
  <si>
    <t>Mira Real Estate</t>
  </si>
  <si>
    <t xml:space="preserve">Paper Bag </t>
  </si>
  <si>
    <t>Size : 34 x 25 x 16.5 cm</t>
  </si>
  <si>
    <t xml:space="preserve">24-0078 </t>
  </si>
  <si>
    <t>24-0154R</t>
  </si>
  <si>
    <t>TAPPY TOES NURSERY</t>
  </si>
  <si>
    <t>Material : Interlock fabric</t>
  </si>
  <si>
    <t>24-0155</t>
  </si>
  <si>
    <t>TOP LEVEL REAL ESTATE</t>
  </si>
  <si>
    <t>24-0156R</t>
  </si>
  <si>
    <t>Ms. Rebecca</t>
  </si>
  <si>
    <t>Reel Badge</t>
  </si>
  <si>
    <t>24-0157</t>
  </si>
  <si>
    <t>ParamInfo</t>
  </si>
  <si>
    <t>24-0158</t>
  </si>
  <si>
    <t>Stellar Advertising LLC</t>
  </si>
  <si>
    <t>Poster</t>
  </si>
  <si>
    <t xml:space="preserve">Sticker on 10mm foamboard </t>
  </si>
  <si>
    <t>24-0159</t>
  </si>
  <si>
    <t>Business Cards (Preeti D’souza)</t>
  </si>
  <si>
    <t>24-0160</t>
  </si>
  <si>
    <t>Paper Bag, Candle , Ribbon</t>
  </si>
  <si>
    <t xml:space="preserve">Size: 12cmx12 cm </t>
  </si>
  <si>
    <t>24-0161</t>
  </si>
  <si>
    <t>Catalogue designing</t>
  </si>
  <si>
    <t xml:space="preserve">Upto 12 pages, Size: A4 </t>
  </si>
  <si>
    <t>24-0162</t>
  </si>
  <si>
    <t>Flyer - Tri fold</t>
  </si>
  <si>
    <t>Open Size : A4</t>
  </si>
  <si>
    <t>24-0163</t>
  </si>
  <si>
    <t>Saint Vincent Group GT LLC</t>
  </si>
  <si>
    <t>Vest (as sample received)</t>
  </si>
  <si>
    <t xml:space="preserve">Color : Red, Fabric : Poly viscose </t>
  </si>
  <si>
    <t>24-0164</t>
  </si>
  <si>
    <t>Year Book</t>
  </si>
  <si>
    <t>Size : A4 , Total pages: 200, including cover</t>
  </si>
  <si>
    <t>24-0165</t>
  </si>
  <si>
    <t>Catalogue</t>
  </si>
  <si>
    <t>Size: A4 , Total Pages : 12</t>
  </si>
  <si>
    <t>24-0166R</t>
  </si>
  <si>
    <t>24-0093</t>
  </si>
  <si>
    <t>24-0167</t>
  </si>
  <si>
    <t>JUBAILI BROS S.A.L.</t>
  </si>
  <si>
    <t>Chef Aprons , Chef Caps</t>
  </si>
  <si>
    <t xml:space="preserve">Color : Black </t>
  </si>
  <si>
    <t>24-0168</t>
  </si>
  <si>
    <t>AAB Tools</t>
  </si>
  <si>
    <t>Closed Size : A4</t>
  </si>
  <si>
    <t>24-0169</t>
  </si>
  <si>
    <t>Flyers , Brochure</t>
  </si>
  <si>
    <t>Size: A4 , Size: 28cm(w)x21.6cm(h)</t>
  </si>
  <si>
    <t>24-0170</t>
  </si>
  <si>
    <t xml:space="preserve">Brogan Group </t>
  </si>
  <si>
    <t>Outdoor Banners</t>
  </si>
  <si>
    <t xml:space="preserve">Material: Banner material  </t>
  </si>
  <si>
    <t>24-0171</t>
  </si>
  <si>
    <t xml:space="preserve">FLOWER MARKET </t>
  </si>
  <si>
    <t xml:space="preserve">Business Card, Card, Paper Bag </t>
  </si>
  <si>
    <t>Textured Paper (Paper No. 181)</t>
  </si>
  <si>
    <t>24-0172</t>
  </si>
  <si>
    <t>Table Cloth</t>
  </si>
  <si>
    <t>Size: 108cm (W) x 170cm (L)</t>
  </si>
  <si>
    <t>24-0173R</t>
  </si>
  <si>
    <t>Stellar Advertising LLC - Taaleem</t>
  </si>
  <si>
    <t>Table Flag , Table Place Cards , Table display with Bamboo Base</t>
  </si>
  <si>
    <t xml:space="preserve">Size: 25.5x15.5 cm , Size: Open size 10.2x8.4cm </t>
  </si>
  <si>
    <t>24-0174</t>
  </si>
  <si>
    <t>Business cards ( MTA )</t>
  </si>
  <si>
    <t xml:space="preserve">Special Paper </t>
  </si>
  <si>
    <t>24-0092</t>
  </si>
  <si>
    <t>24-0175</t>
  </si>
  <si>
    <t>Shajara</t>
  </si>
  <si>
    <t>Clear Sticker , Safety Vest</t>
  </si>
  <si>
    <t>Size: 6 x 1.35 cm</t>
  </si>
  <si>
    <t>24-0176</t>
  </si>
  <si>
    <t>Stellar Advertising LLC - DBSJP</t>
  </si>
  <si>
    <t>Selfie Frame , Prop - #Outstanding</t>
  </si>
  <si>
    <t>Size: 90x72cm</t>
  </si>
  <si>
    <t>24-0096</t>
  </si>
  <si>
    <t>24-0177</t>
  </si>
  <si>
    <t>Hult International Business School</t>
  </si>
  <si>
    <t>Round Neck Tshirts</t>
  </si>
  <si>
    <t>24-0178R2</t>
  </si>
  <si>
    <t xml:space="preserve">Aurantius Real Estate </t>
  </si>
  <si>
    <t>A4 Envelopes , DL Envelopes , Letterhead</t>
  </si>
  <si>
    <t>Brand: Hispapel , Printing : as mockup</t>
  </si>
  <si>
    <t>24-0179</t>
  </si>
  <si>
    <t>BRILLIANT MINDZ INSTITUTE LLC</t>
  </si>
  <si>
    <t>Note Book , Magazine , Spiral Book ( Left Spiral )</t>
  </si>
  <si>
    <t xml:space="preserve">Size : A5 , Color : White </t>
  </si>
  <si>
    <t>24-0180</t>
  </si>
  <si>
    <t>Hawksford</t>
  </si>
  <si>
    <t>Reception Logo - Changing Color</t>
  </si>
  <si>
    <t>Removal, re-painting and re-installing</t>
  </si>
  <si>
    <t>24-0181</t>
  </si>
  <si>
    <t>ANB Automobiles LLC</t>
  </si>
  <si>
    <t>Size: 30cm(h) x 40cm(w) x 15cm(d)</t>
  </si>
  <si>
    <t>24-0182</t>
  </si>
  <si>
    <t>Embroidery Patch</t>
  </si>
  <si>
    <t>Size: 8 cm dia</t>
  </si>
  <si>
    <t>24-0183</t>
  </si>
  <si>
    <t>Flove Fresh Flowers</t>
  </si>
  <si>
    <t>Size:  9 x 5.5 cm</t>
  </si>
  <si>
    <t>24-0184R</t>
  </si>
  <si>
    <t>Executive Shirts ( Customized )</t>
  </si>
  <si>
    <t xml:space="preserve">Fabric: Poly Viscose </t>
  </si>
  <si>
    <t>24-0185R</t>
  </si>
  <si>
    <t>NCR Book , Business Cards</t>
  </si>
  <si>
    <t>24-0186</t>
  </si>
  <si>
    <t>24-0187</t>
  </si>
  <si>
    <t>Stellar Advertising LLC - DBSEH</t>
  </si>
  <si>
    <t>Journal</t>
  </si>
  <si>
    <t xml:space="preserve">A4 - portrait </t>
  </si>
  <si>
    <t>24-0188</t>
  </si>
  <si>
    <t>Liquid Intelligent Technologies</t>
  </si>
  <si>
    <t xml:space="preserve">Non-Woven Shopping Bag , Wireless Charger ,  Mag Card Holder - Blue , Luggage Tag - Black , Lock Gift Set with 2 Card Keys , Paper Bag </t>
  </si>
  <si>
    <t>Size: 38.0 x 30.0 x 10.0 cm , Size: 8.3 x 8.3 x 1.0 cm, Color : Blue , Size: 11.8 x 10.0 x 7.0 cm , Size: 9.5 x 6.5 x 0.8 cm , Size: 5.3 x 4.9 x 2.9 cm</t>
  </si>
  <si>
    <t xml:space="preserve">Size: 30 x 33x 11cm </t>
  </si>
  <si>
    <t>24-0125</t>
  </si>
  <si>
    <t>24-0189R</t>
  </si>
  <si>
    <t>Gift Box</t>
  </si>
  <si>
    <t>Stainless Bottle,  Capacity:500ml</t>
  </si>
  <si>
    <t>24-0190</t>
  </si>
  <si>
    <t xml:space="preserve">Door : 218(l) x 100(w) </t>
  </si>
  <si>
    <t xml:space="preserve">Wall : 306(l) x 800(w) </t>
  </si>
  <si>
    <t>24-0191</t>
  </si>
  <si>
    <t xml:space="preserve">Color : Grey </t>
  </si>
  <si>
    <t>Size : XL , Material : As per sample (Drifit Polyester)</t>
  </si>
  <si>
    <t>24-0192</t>
  </si>
  <si>
    <t>ICM.COM</t>
  </si>
  <si>
    <t>Metal Badge</t>
  </si>
  <si>
    <t>Approx. Size: 5 cm x 2 cm</t>
  </si>
  <si>
    <t>24-0193</t>
  </si>
  <si>
    <t>Table Tents , Flyer , AU Destination Map and Document Checklist , Floorplan</t>
  </si>
  <si>
    <t xml:space="preserve">Size: 22x77.5cm (Open size) , Size: A5 , Closed size: A5 </t>
  </si>
  <si>
    <t>24-0103 , 24-0104</t>
  </si>
  <si>
    <t>24-0194</t>
  </si>
  <si>
    <t>Destination Tear Drop Banner</t>
  </si>
  <si>
    <t xml:space="preserve">Size: 90x200cm , Material: Satin, double side print </t>
  </si>
  <si>
    <t>24-0195</t>
  </si>
  <si>
    <t xml:space="preserve">FloorPlan , Rollup Banners </t>
  </si>
  <si>
    <t>Size: 230x300cm , Size:200x85cm</t>
  </si>
  <si>
    <t>24-0196</t>
  </si>
  <si>
    <t>Totem Branding , Rollup Stickers , Floor Stickers , Entrance/Sign , Venue Branding , Installation/ Transportation/Handling charges</t>
  </si>
  <si>
    <t xml:space="preserve">Size: 240x120x7 , Vinyl  , Size:20cm dia , Size:100x80cm , Size: as sizes taken </t>
  </si>
  <si>
    <t>24-0197R1</t>
  </si>
  <si>
    <t>Advertising Flag</t>
  </si>
  <si>
    <t xml:space="preserve">Flag size: 100cm x 400cm </t>
  </si>
  <si>
    <t>24-0198</t>
  </si>
  <si>
    <t xml:space="preserve">Mohammed Bin Rashid University </t>
  </si>
  <si>
    <t>Note Book , Sublimation Mug , PVC Tea coaster (Round)</t>
  </si>
  <si>
    <t>Size : A5 , Color : White</t>
  </si>
  <si>
    <t>24-0199</t>
  </si>
  <si>
    <t>Raha International School</t>
  </si>
  <si>
    <t>Maths Copy Books</t>
  </si>
  <si>
    <t>Size : A4+</t>
  </si>
  <si>
    <t>24-0200A-R</t>
  </si>
  <si>
    <t>MAV Access LLC</t>
  </si>
  <si>
    <t>Wrist Bands</t>
  </si>
  <si>
    <t>Material : Silicon</t>
  </si>
  <si>
    <t>24-0200R1</t>
  </si>
  <si>
    <t>AUSTRAL INTERNATIONAL FZE</t>
  </si>
  <si>
    <t xml:space="preserve">Website Designing and Development </t>
  </si>
  <si>
    <t>Up to 5 Pages in English</t>
  </si>
  <si>
    <t>24-0201A</t>
  </si>
  <si>
    <t>Summer King Industries</t>
  </si>
  <si>
    <t>Size : Open A3 Closed A4</t>
  </si>
  <si>
    <t>24-0201</t>
  </si>
  <si>
    <t>Round Neck Shirt</t>
  </si>
  <si>
    <t>Color: Blue</t>
  </si>
  <si>
    <t>24-0202</t>
  </si>
  <si>
    <t xml:space="preserve">GRANDDUBAI GLASS &amp; ALUMINUM </t>
  </si>
  <si>
    <t xml:space="preserve">Acrylic Stand </t>
  </si>
  <si>
    <t xml:space="preserve">Top size: 66.2x50cm </t>
  </si>
  <si>
    <t>24-0203</t>
  </si>
  <si>
    <t xml:space="preserve">Oilmar </t>
  </si>
  <si>
    <t>400 gsm art matt paper</t>
  </si>
  <si>
    <t>24-0204</t>
  </si>
  <si>
    <t>Sea Route Shipping &amp; Cargo LLC</t>
  </si>
  <si>
    <t>PVC Sticker</t>
  </si>
  <si>
    <t xml:space="preserve">Size: 15x7cm, round edges </t>
  </si>
  <si>
    <t>24-0205</t>
  </si>
  <si>
    <t>Mr. Mohit Sharma</t>
  </si>
  <si>
    <t xml:space="preserve">Ribbons , Paper Bag  , Welcome Card , A6 Card with Envelope </t>
  </si>
  <si>
    <t xml:space="preserve">2cm thick , 300gsm food board with printing </t>
  </si>
  <si>
    <t>24-0206</t>
  </si>
  <si>
    <t>Ceramic Mug (sublimation)</t>
  </si>
  <si>
    <t>Color : White</t>
  </si>
  <si>
    <t>24-0207</t>
  </si>
  <si>
    <t>Round Neck T shirt ( customized )</t>
  </si>
  <si>
    <t xml:space="preserve">Material: Drifit Polyester </t>
  </si>
  <si>
    <t>24-0208</t>
  </si>
  <si>
    <t>Eurofragance Dubai</t>
  </si>
  <si>
    <t>Borosilicate Glass Bottle with Cork Lid</t>
  </si>
  <si>
    <t>Made from borosilicate glass,</t>
  </si>
  <si>
    <t>24-0209R</t>
  </si>
  <si>
    <t>Receipt Voucher</t>
  </si>
  <si>
    <t>Size: A5</t>
  </si>
  <si>
    <t>24-0210</t>
  </si>
  <si>
    <t>THERMO FISHER SCIENTIFIC</t>
  </si>
  <si>
    <t>3 in 1 Charging Cable</t>
  </si>
  <si>
    <t>Color : Black , Engineered to fit global power outlets</t>
  </si>
  <si>
    <t>24-0101</t>
  </si>
  <si>
    <t>24-0211</t>
  </si>
  <si>
    <t>Oilmar Shipping and Chartering DMCC</t>
  </si>
  <si>
    <t>Vinyl Sticker</t>
  </si>
  <si>
    <t xml:space="preserve">23 x 6 cm - 02 Stickers </t>
  </si>
  <si>
    <t>24-0212R</t>
  </si>
  <si>
    <t xml:space="preserve">Round Neck Tshirts (Wellbeing) </t>
  </si>
  <si>
    <t xml:space="preserve">Color: Navy Blue </t>
  </si>
  <si>
    <t>24-0213R</t>
  </si>
  <si>
    <t>Flyer</t>
  </si>
  <si>
    <t>Size: A4</t>
  </si>
  <si>
    <t>24-0214</t>
  </si>
  <si>
    <t>Stellar Advertising LLC - Taylor Wessing</t>
  </si>
  <si>
    <t xml:space="preserve">Brochure (Magazine type) </t>
  </si>
  <si>
    <t>24-0215</t>
  </si>
  <si>
    <t>Homely Advanced Technical Services LLC</t>
  </si>
  <si>
    <t>Size: A4 , 1+2 (White, Yellow, Green)</t>
  </si>
  <si>
    <t>24-0216</t>
  </si>
  <si>
    <t>Griffith College</t>
  </si>
  <si>
    <t>Brochure</t>
  </si>
  <si>
    <t xml:space="preserve">Open Size: 84 x 29.7cm  </t>
  </si>
  <si>
    <t>24-0217</t>
  </si>
  <si>
    <t>Meridian</t>
  </si>
  <si>
    <t>Business Card , Polo Shirt</t>
  </si>
  <si>
    <t xml:space="preserve">350 gsm art matt paper </t>
  </si>
  <si>
    <t>24-0218</t>
  </si>
  <si>
    <t>Event ID Card , Plastic ID Card Holder , Lanyard</t>
  </si>
  <si>
    <t xml:space="preserve">Size: 10.5 x 7.5 cm , Outer Size : 12.2 x 17.9cm </t>
  </si>
  <si>
    <t>24-0219</t>
  </si>
  <si>
    <t>Stamp</t>
  </si>
  <si>
    <t>Size: 3.8 cm</t>
  </si>
  <si>
    <t>24-0220</t>
  </si>
  <si>
    <t xml:space="preserve">Size : A5 </t>
  </si>
  <si>
    <t>24-0221</t>
  </si>
  <si>
    <t>Stellar Advertising LLC - Charter School</t>
  </si>
  <si>
    <t>Spiral Notebook (side spiral)</t>
  </si>
  <si>
    <t xml:space="preserve">Cover:thick kappaboard cover </t>
  </si>
  <si>
    <t>24-0222</t>
  </si>
  <si>
    <t xml:space="preserve">Modern Plastic Industry LLC </t>
  </si>
  <si>
    <t>Swivel USB</t>
  </si>
  <si>
    <t>16GB , Color : Blue</t>
  </si>
  <si>
    <t>24-0223</t>
  </si>
  <si>
    <t>A5 Notebook</t>
  </si>
  <si>
    <t xml:space="preserve">96 Pages , PU </t>
  </si>
  <si>
    <t>24-0224</t>
  </si>
  <si>
    <t>Size: A5 , 1+2 (White, Pink and Yellow)</t>
  </si>
  <si>
    <t>24-0225</t>
  </si>
  <si>
    <t>Two side tape at the back</t>
  </si>
  <si>
    <t>24-0119</t>
  </si>
  <si>
    <t>24-0226</t>
  </si>
  <si>
    <t>Size: 9 x 5.5(h) cm</t>
  </si>
  <si>
    <t>24-0124</t>
  </si>
  <si>
    <t>24-0227</t>
  </si>
  <si>
    <t xml:space="preserve">ADK Studios </t>
  </si>
  <si>
    <t xml:space="preserve">Color: Blue / Black </t>
  </si>
  <si>
    <t>24-0228</t>
  </si>
  <si>
    <t>Stellar Advertising LLC - Dubai College</t>
  </si>
  <si>
    <t>Notebook (Customized)</t>
  </si>
  <si>
    <t xml:space="preserve">Size : A5 , Cover: Kappaboard with PU cover </t>
  </si>
  <si>
    <t>24-0229R</t>
  </si>
  <si>
    <t xml:space="preserve">Stellar Advertising LLC - GIS </t>
  </si>
  <si>
    <t>Rollup Banners , Designing charges</t>
  </si>
  <si>
    <t xml:space="preserve">Size: 200x85cm , With printing </t>
  </si>
  <si>
    <t>24-0111</t>
  </si>
  <si>
    <t>24-0230</t>
  </si>
  <si>
    <t>Clouds Defense IT Solution LLC</t>
  </si>
  <si>
    <t>Indoor Signage</t>
  </si>
  <si>
    <t>Sticker Printing with Matt Lamination</t>
  </si>
  <si>
    <t>24-0231</t>
  </si>
  <si>
    <t>Brochure , Rollup Banner</t>
  </si>
  <si>
    <t>Total : 20 pages each, 5 A3 sheets</t>
  </si>
  <si>
    <t>24-0232</t>
  </si>
  <si>
    <t>Business Cards (Dipak M Shelke)</t>
  </si>
  <si>
    <t>24-0113</t>
  </si>
  <si>
    <t>24-0233</t>
  </si>
  <si>
    <t>24-0234</t>
  </si>
  <si>
    <t>Business card , Ribbons with printing , Paper Bag , Paper Stickers , Wrapping Paper</t>
  </si>
  <si>
    <t>Standard size  , 2.5cm thickness</t>
  </si>
  <si>
    <t>24-0122</t>
  </si>
  <si>
    <t>24-0235</t>
  </si>
  <si>
    <t>Size: 20cm (height) x (proportionate width)</t>
  </si>
  <si>
    <t>24-0236</t>
  </si>
  <si>
    <t>24-0130 , 24-0141</t>
  </si>
  <si>
    <t>24-0237</t>
  </si>
  <si>
    <t>24-0129 , 24-0140, 24-0397</t>
  </si>
  <si>
    <t>24-0238</t>
  </si>
  <si>
    <t>24-0128 , 24-0139</t>
  </si>
  <si>
    <t>24-0239</t>
  </si>
  <si>
    <t>Name Tags , Expo Cards</t>
  </si>
  <si>
    <t>Standard size</t>
  </si>
  <si>
    <t>24-0104 - Inspiration</t>
  </si>
  <si>
    <t>24-0240</t>
  </si>
  <si>
    <t>Vertical Matt Veneer Wooden Plaque</t>
  </si>
  <si>
    <t>Material: Wood</t>
  </si>
  <si>
    <t>24-0241</t>
  </si>
  <si>
    <t>IDP Business Cards</t>
  </si>
  <si>
    <t>24-0103 - Inspiration</t>
  </si>
  <si>
    <t>24-0242</t>
  </si>
  <si>
    <t>IDP Excellence Awards - 21-Feb-24</t>
  </si>
  <si>
    <t>Rollup Banner , Hotel Entrance Signage, Certificates ,Name Tags,Name Table Tent cards - different artwork,Trophies (Customized)</t>
  </si>
  <si>
    <t>24-0118</t>
  </si>
  <si>
    <t>24-0243</t>
  </si>
  <si>
    <t>IDP Education Ltd (Abu Dhabi)</t>
  </si>
  <si>
    <t xml:space="preserve">350gsm art matt paper </t>
  </si>
  <si>
    <t>24-0244R2</t>
  </si>
  <si>
    <t xml:space="preserve">Year Book </t>
  </si>
  <si>
    <t>Size: 33.5x19 cm landscape</t>
  </si>
  <si>
    <t>24-375</t>
  </si>
  <si>
    <t>24-0245</t>
  </si>
  <si>
    <t xml:space="preserve">Backpack  , Metal Pen ,Spiral Note Book ,Water Bottle,Mug ,Headphone, Charging cable, polo shirt </t>
  </si>
  <si>
    <t xml:space="preserve">Color : Black , Branding : 1 color , 1 position printing </t>
  </si>
  <si>
    <t>24-0246</t>
  </si>
  <si>
    <t>Rentico Rent a Car</t>
  </si>
  <si>
    <t>Glass Branding</t>
  </si>
  <si>
    <t>Size : 345 x 122 cm, 297 x 122 cm</t>
  </si>
  <si>
    <t>24-0247</t>
  </si>
  <si>
    <t xml:space="preserve">Customized Vest </t>
  </si>
  <si>
    <t>Material : Poly cotton</t>
  </si>
  <si>
    <t>24-0248</t>
  </si>
  <si>
    <t>Black Swan Business Setup Services</t>
  </si>
  <si>
    <t>A4 Brochure</t>
  </si>
  <si>
    <t xml:space="preserve">Total : 16 pages </t>
  </si>
  <si>
    <t>24-0249</t>
  </si>
  <si>
    <t xml:space="preserve">Mr. Karl Turley - TUS, Ireland </t>
  </si>
  <si>
    <t>Brochure 2024</t>
  </si>
  <si>
    <t>Size: A4 (297mm deep x 210mm wide)</t>
  </si>
  <si>
    <t>24-0250</t>
  </si>
  <si>
    <t xml:space="preserve">AL WASEEF INDUSTRIES </t>
  </si>
  <si>
    <t>Lanyard</t>
  </si>
  <si>
    <t>24-0251</t>
  </si>
  <si>
    <t>Certificate Holder</t>
  </si>
  <si>
    <t xml:space="preserve">Size : A4 , 400gsm art matt paper </t>
  </si>
  <si>
    <t>24-0252</t>
  </si>
  <si>
    <t>Metal Pen , A4 Notepad</t>
  </si>
  <si>
    <t xml:space="preserve">Color : Black with Gold </t>
  </si>
  <si>
    <t>24-0253</t>
  </si>
  <si>
    <t>Mousepad with handrest</t>
  </si>
  <si>
    <t>Color : Black, Branding: 1 position printing</t>
  </si>
  <si>
    <t>24-0254R1</t>
  </si>
  <si>
    <t>Booklet</t>
  </si>
  <si>
    <t>100 Books</t>
  </si>
  <si>
    <t>24-0255</t>
  </si>
  <si>
    <t>BMC Gulf Trading LLC</t>
  </si>
  <si>
    <t>Non Woven Bag</t>
  </si>
  <si>
    <t xml:space="preserve">Color : White  , Size : 43x33x12cm </t>
  </si>
  <si>
    <t>24-0256</t>
  </si>
  <si>
    <t>Navitas SAE FZ LLC</t>
  </si>
  <si>
    <t>Table cloth - Bridal Satin , A4 Flyer (ICN)</t>
  </si>
  <si>
    <t xml:space="preserve">Size: 1.50x2.8m , 1/0 printing </t>
  </si>
  <si>
    <t>24-0257</t>
  </si>
  <si>
    <t>Safety vests (Kids) Customized</t>
  </si>
  <si>
    <t xml:space="preserve">Yellow colour - Grade 5 students </t>
  </si>
  <si>
    <t>24-0258</t>
  </si>
  <si>
    <t>Recognition Pin</t>
  </si>
  <si>
    <t xml:space="preserve">Size: 2.5cm dia </t>
  </si>
  <si>
    <t>24-0259</t>
  </si>
  <si>
    <t>A5 Envelopes</t>
  </si>
  <si>
    <t>Brand : Hispapel</t>
  </si>
  <si>
    <t>24-0260</t>
  </si>
  <si>
    <t>Size: 26x26x26cm</t>
  </si>
  <si>
    <t>24-0261</t>
  </si>
  <si>
    <t xml:space="preserve">Business card </t>
  </si>
  <si>
    <t>24-0262</t>
  </si>
  <si>
    <t>Open size: 44.55x21cm - closed to A5</t>
  </si>
  <si>
    <t>24-0263</t>
  </si>
  <si>
    <t>24-0264</t>
  </si>
  <si>
    <t>FAD Institute of Luxury Fashion and Style Dubai</t>
  </si>
  <si>
    <t>Cloth Bag - Cotton</t>
  </si>
  <si>
    <t>Colour : Black , Size : 30" (w) x 16" (L)</t>
  </si>
  <si>
    <t>24-0265</t>
  </si>
  <si>
    <t xml:space="preserve">Stellar Advertising LLC - Taaleem, DBSJ </t>
  </si>
  <si>
    <t xml:space="preserve">Business cards </t>
  </si>
  <si>
    <t xml:space="preserve">With die cut , 350 gsm art matt paper </t>
  </si>
  <si>
    <t>24-0142 , 24-0145</t>
  </si>
  <si>
    <t>24-0266</t>
  </si>
  <si>
    <t>Ms. Karine</t>
  </si>
  <si>
    <t xml:space="preserve">Mug , Mememto </t>
  </si>
  <si>
    <t xml:space="preserve">Size: 7.5x19cm , Size: 10cm </t>
  </si>
  <si>
    <t>24-0267</t>
  </si>
  <si>
    <t xml:space="preserve">Metal Pen , Twin Note Book </t>
  </si>
  <si>
    <t xml:space="preserve">Color : Gray , Color : Blue </t>
  </si>
  <si>
    <t>24-0391</t>
  </si>
  <si>
    <t>24-0268</t>
  </si>
  <si>
    <t>Rollup Banner , A3 Desktop Rollup , A4 Flyer (ICN)</t>
  </si>
  <si>
    <t xml:space="preserve">Size: 200x85cm </t>
  </si>
  <si>
    <t>24-0144</t>
  </si>
  <si>
    <t>24-0269</t>
  </si>
  <si>
    <t>Business Cards ( Jomer Pinohermoso )</t>
  </si>
  <si>
    <t>24-0146</t>
  </si>
  <si>
    <t>24-0270</t>
  </si>
  <si>
    <t>Black Mug</t>
  </si>
  <si>
    <t>Ceramic - Matt finish</t>
  </si>
  <si>
    <t>24-0149</t>
  </si>
  <si>
    <t>24-0271</t>
  </si>
  <si>
    <t xml:space="preserve">Pen, Pen stand, Coasters, Keychain, mousepad, business card holder, watter bottle, Ceramic Mug, Notebook, Notepad </t>
  </si>
  <si>
    <t>Colors: White/Red, Product size: 8x8cm extends upto 13 cm,Size: 9cm Diameter , Branding : 1 position printing</t>
  </si>
  <si>
    <t>24-0272R1</t>
  </si>
  <si>
    <t>FACTS GLOBAL ENERGY</t>
  </si>
  <si>
    <t xml:space="preserve">Wireless Charger , Mag Card Holder , Travel Mug , Sublimation Mug </t>
  </si>
  <si>
    <t>Input 9V/5V , Color : Blue , Size : 118 x 105 x 80 mm</t>
  </si>
  <si>
    <t>24-0273</t>
  </si>
  <si>
    <t xml:space="preserve">Sports Jersey + Shorts set </t>
  </si>
  <si>
    <t>Color : Yellow Tshirt + Blue shorts</t>
  </si>
  <si>
    <t>24-0274</t>
  </si>
  <si>
    <t>Brochure - Pre Departure</t>
  </si>
  <si>
    <t xml:space="preserve">Size: closed 7.3x9 inches (22.86x18.54cm) </t>
  </si>
  <si>
    <t>24-0148</t>
  </si>
  <si>
    <t>24-0275</t>
  </si>
  <si>
    <t>Polo Shirts (Long Sleeve)</t>
  </si>
  <si>
    <t>Color : Grey, Size : Large</t>
  </si>
  <si>
    <t>24-0276</t>
  </si>
  <si>
    <t xml:space="preserve">Business Cards ( HAKIM LABRAHMI ) </t>
  </si>
  <si>
    <t>24-0150</t>
  </si>
  <si>
    <t>24-0277</t>
  </si>
  <si>
    <t>CANDY MAIDS CLEANING SERVICES L.L.C</t>
  </si>
  <si>
    <t>Payment Voucher</t>
  </si>
  <si>
    <t>Size : A5 , 1+2 (White, Pink and Yellow)</t>
  </si>
  <si>
    <t xml:space="preserve">10 Books </t>
  </si>
  <si>
    <t>24-0278</t>
  </si>
  <si>
    <t>A4 , A5  Paper Bag - Vertical</t>
  </si>
  <si>
    <t>250gsm food board with printing</t>
  </si>
  <si>
    <t>24-0279</t>
  </si>
  <si>
    <t xml:space="preserve">Power Bank , Charger, Smart Mug, Smart Writing Set, Ceramic Mug, Arabic Oudh Scented Glass Candle, Promotional Gift Set, Cardholder, Cable Set </t>
  </si>
  <si>
    <t xml:space="preserve">Color : Black / Blue , Color : Black / Tan with White </t>
  </si>
  <si>
    <t>24-0280</t>
  </si>
  <si>
    <t xml:space="preserve">Size : A5 , 1+1 NCR (White + Pink) </t>
  </si>
  <si>
    <t>24-0281</t>
  </si>
  <si>
    <t>Rollup Banner - Broadbase , Backdrop</t>
  </si>
  <si>
    <t xml:space="preserve">Size: 300x200cm </t>
  </si>
  <si>
    <t>24-0282</t>
  </si>
  <si>
    <t>Good Vibes Transport LLC</t>
  </si>
  <si>
    <t>Job card</t>
  </si>
  <si>
    <t>Size : A4 , Paper : Blue Bristol board</t>
  </si>
  <si>
    <t>24-0283</t>
  </si>
  <si>
    <t>Polaris Signage Refurbish</t>
  </si>
  <si>
    <t xml:space="preserve">2 signages </t>
  </si>
  <si>
    <t>24-0284</t>
  </si>
  <si>
    <t>Pacific Link</t>
  </si>
  <si>
    <t>Office Branding</t>
  </si>
  <si>
    <t xml:space="preserve">Wallbranding - Vinyl sticker , Acrylic with sticker,3D Acrylic letter cut signage </t>
  </si>
  <si>
    <t>24-0285</t>
  </si>
  <si>
    <t>Clarion School LLC</t>
  </si>
  <si>
    <t>Notebooks - 2024-25</t>
  </si>
  <si>
    <t xml:space="preserve">Grade 1 Journal (Yellow) Size: : A4(biger than A4) Total Page: 60 + cover Cover: 350gsm art matt paper with printing , Inner: 80gsm woodfree paper with printing, </t>
  </si>
  <si>
    <t>24-0286</t>
  </si>
  <si>
    <t xml:space="preserve">Color: Grey , Printing: 1 position (front) </t>
  </si>
  <si>
    <t>24-0287</t>
  </si>
  <si>
    <t xml:space="preserve">Stellar Advertising LLC - Jebel  Ali School </t>
  </si>
  <si>
    <t xml:space="preserve">Foodboard Box  , Fridge Magnet </t>
  </si>
  <si>
    <t>Size: A5 , Size: A4 , With printing as reference picture</t>
  </si>
  <si>
    <t>24-0288</t>
  </si>
  <si>
    <t>A5 portrait , 4pp cover 250gsm - Cover</t>
  </si>
  <si>
    <t>24-0289</t>
  </si>
  <si>
    <t xml:space="preserve">Size: approx 20cm </t>
  </si>
  <si>
    <t>24-0290</t>
  </si>
  <si>
    <t>Paper Bag - Vertical</t>
  </si>
  <si>
    <t>A4 size , With printing</t>
  </si>
  <si>
    <t>24-0291</t>
  </si>
  <si>
    <t xml:space="preserve">Business Cards </t>
  </si>
  <si>
    <t>24-0292</t>
  </si>
  <si>
    <t>Ortho Cast Model Box</t>
  </si>
  <si>
    <t xml:space="preserve">Size: 25.5x11.5x8cm </t>
  </si>
  <si>
    <t>24-0293</t>
  </si>
  <si>
    <t>400gsm art matt paper With matt lamination 2 side printing, With brand colors</t>
  </si>
  <si>
    <t>500 x 1 Name</t>
  </si>
  <si>
    <t>24-0294</t>
  </si>
  <si>
    <t xml:space="preserve">Stellar Advertising LLC </t>
  </si>
  <si>
    <t>Round Neck Tshirts (Dubai College UAE)</t>
  </si>
  <si>
    <t>Color: Grey 180gsm cotton, Printing: 1 position (front left), Size: Standard S/M/L/XL/XXL</t>
  </si>
  <si>
    <t>24-0295</t>
  </si>
  <si>
    <r>
      <rPr>
        <b/>
        <sz val="11"/>
        <color theme="1"/>
        <rFont val="Aptos Narrow"/>
        <family val="2"/>
        <scheme val="minor"/>
      </rPr>
      <t>Designing Charges</t>
    </r>
    <r>
      <rPr>
        <sz val="11"/>
        <color theme="1"/>
        <rFont val="Aptos Narrow"/>
        <family val="2"/>
        <scheme val="minor"/>
      </rPr>
      <t>- Business cards, Letterhead</t>
    </r>
  </si>
  <si>
    <t>Report Cover,MOM Template,  Email signature</t>
  </si>
  <si>
    <t>24-0296</t>
  </si>
  <si>
    <t>KOTUG MIDDLE EAST DMCC</t>
  </si>
  <si>
    <t xml:space="preserve">Ceramic Mug Color: White Branding : Logo branding with individual Name
</t>
  </si>
  <si>
    <t>Business Card (ENGLISH &amp; ARABIC) Size: 9x5.5cm 350gsm art matt paper
2 side printing, with glossy lamination 2 side</t>
  </si>
  <si>
    <t>24-0297</t>
  </si>
  <si>
    <t>DL Envelopes</t>
  </si>
  <si>
    <t xml:space="preserve">Paper Pouch With 4 Color Printing
</t>
  </si>
  <si>
    <t>24-0298</t>
  </si>
  <si>
    <t>TOTEBAGS/PENS/FLIERS</t>
  </si>
  <si>
    <t>24-0299R</t>
  </si>
  <si>
    <t>Lloyds Energy</t>
  </si>
  <si>
    <t>Signage</t>
  </si>
  <si>
    <t>24-0300</t>
  </si>
  <si>
    <t xml:space="preserve">Stellar Advertsing- JAS </t>
  </si>
  <si>
    <t>Tshirts</t>
  </si>
  <si>
    <t>24-0301</t>
  </si>
  <si>
    <t>Stellar Advertsiing</t>
  </si>
  <si>
    <t>Graduation Caps</t>
  </si>
  <si>
    <t>24-0302</t>
  </si>
  <si>
    <t>Yulia BC</t>
  </si>
  <si>
    <t>24-0303</t>
  </si>
  <si>
    <t>Trane BVBA- Dubai</t>
  </si>
  <si>
    <t>A4 A3 Envelope</t>
  </si>
  <si>
    <t>24-0304</t>
  </si>
  <si>
    <t xml:space="preserve">Stellar Advertising </t>
  </si>
  <si>
    <t>Taaleem Gifts</t>
  </si>
  <si>
    <t>24-0305</t>
  </si>
  <si>
    <t>IDP Education LLC</t>
  </si>
  <si>
    <t>TESOL</t>
  </si>
  <si>
    <t>24-0306</t>
  </si>
  <si>
    <t>Stellar Advertising- JAS</t>
  </si>
  <si>
    <t>TEDEx</t>
  </si>
  <si>
    <t>24-0307</t>
  </si>
  <si>
    <t>Stellar Advertising DBSJ</t>
  </si>
  <si>
    <t>Flier</t>
  </si>
  <si>
    <t>24-0308</t>
  </si>
  <si>
    <t>Anshu</t>
  </si>
  <si>
    <t>Envelope</t>
  </si>
  <si>
    <t>24-0309</t>
  </si>
  <si>
    <t>Paper Bags</t>
  </si>
  <si>
    <t>24-0310</t>
  </si>
  <si>
    <t xml:space="preserve">Stellar </t>
  </si>
  <si>
    <t>Balloon</t>
  </si>
  <si>
    <t>24-0311</t>
  </si>
  <si>
    <t>Stellar UIS</t>
  </si>
  <si>
    <t>Water Bottle</t>
  </si>
  <si>
    <t>24-0312</t>
  </si>
  <si>
    <t>Size : 9 x 5cm, 350 gsm art matt paper, Two side printing, Matt lamination</t>
  </si>
  <si>
    <t>300 x 1 name</t>
  </si>
  <si>
    <t>24-0313</t>
  </si>
  <si>
    <t>Clivet Mideast</t>
  </si>
  <si>
    <t>Addition to existing signage at Umm al quwain</t>
  </si>
  <si>
    <t>24-0314</t>
  </si>
  <si>
    <t>Grand Matic</t>
  </si>
  <si>
    <t>Customer Service Report Book</t>
  </si>
  <si>
    <t>Size : A4, 1+2 NCR - white, pink, yellow, 1 color printing, with serial number</t>
  </si>
  <si>
    <t>24-0315</t>
  </si>
  <si>
    <t>Tesla X Model Collectible car</t>
  </si>
  <si>
    <t xml:space="preserve">Colors available : Grey/White, Branding on Car: 1 color printing/Clear sticker (whichever is feasible) </t>
  </si>
  <si>
    <t>24-0316R</t>
  </si>
  <si>
    <t>Stellar Advertising LLC - Dubai School</t>
  </si>
  <si>
    <t xml:space="preserve">Brochure (Dubai School) </t>
  </si>
  <si>
    <t xml:space="preserve">Size: A5, Total Pages : 8 including cover </t>
  </si>
  <si>
    <t>100 x 3 artwork</t>
  </si>
  <si>
    <t>24-0317</t>
  </si>
  <si>
    <t xml:space="preserve">Byyu </t>
  </si>
  <si>
    <t xml:space="preserve"> Paper Bag (Moon Hamper), Paper Bag (Acrylic box) 
Size: 32L x 32D x 25H cm</t>
  </si>
  <si>
    <t>Size: 32L x 20D x 36h cm, Size: 32L x 32D x 25H cm</t>
  </si>
  <si>
    <t>24-0318</t>
  </si>
  <si>
    <t>Business Cards, Customized Notebook</t>
  </si>
  <si>
    <t>Special Paper - double pasted,with Gold foiling, with embossing / Size: 26x19cm, Cover: Special paper with 1 position foiling</t>
  </si>
  <si>
    <t>24-0319</t>
  </si>
  <si>
    <t>Business card - AURANTIUS (Ferhat Doghan)</t>
  </si>
  <si>
    <t>350gsm art matt paper, 2 side printing, 2 side UV printing</t>
  </si>
  <si>
    <t>24-0320</t>
  </si>
  <si>
    <t>Stellar Advertising LLC  - JAS</t>
  </si>
  <si>
    <t>Metal plate with printing (JAS)</t>
  </si>
  <si>
    <t xml:space="preserve">Size: 7x4x5cm, for crystal trophy </t>
  </si>
  <si>
    <t>24-0321</t>
  </si>
  <si>
    <t>Dummy Cheque</t>
  </si>
  <si>
    <t>Size: 76x40cm , sticker on 10mm foamboard</t>
  </si>
  <si>
    <t>24-0322</t>
  </si>
  <si>
    <t>Pen</t>
  </si>
  <si>
    <t>Branding: 1 color, 1 position printing</t>
  </si>
  <si>
    <t>24-0323</t>
  </si>
  <si>
    <t xml:space="preserve">Murdoch University </t>
  </si>
  <si>
    <t>Instagrame Frame</t>
  </si>
  <si>
    <t>Size: 90x72cm , Material : Sticker on 10mm foamboard, with die cutting</t>
  </si>
  <si>
    <t>24-0324</t>
  </si>
  <si>
    <t>Polo shirt - Black</t>
  </si>
  <si>
    <t>Fabric : Drifit polyester Embroidery 1 position (front left)</t>
  </si>
  <si>
    <t>24-0325</t>
  </si>
  <si>
    <t>Photo Frame (DBSEH)</t>
  </si>
  <si>
    <t>Size: 4x6 inches (11x16cm), Color of Frame: Beige</t>
  </si>
  <si>
    <t>24-0326</t>
  </si>
  <si>
    <t>Water Bottle, A5 Hard Notebook, Metal Pen</t>
  </si>
  <si>
    <t>24-0327</t>
  </si>
  <si>
    <t>Ecotag</t>
  </si>
  <si>
    <t>Kappa Board Box</t>
  </si>
  <si>
    <t>Slide out box, Size : 43.7cm (L) x 19cm (D) x 13cm (H)</t>
  </si>
  <si>
    <t>24-0328</t>
  </si>
  <si>
    <t xml:space="preserve">Round Neck Tshirts (UIS) </t>
  </si>
  <si>
    <t>Color: Royal Blue, 180gsm cotton</t>
  </si>
  <si>
    <t>24-0329R</t>
  </si>
  <si>
    <t>971 Cyber Security</t>
  </si>
  <si>
    <t>Size: 28x15.9x9.5cm , with printing on the top,Includes: Mug, Pen, card holder, Key chain</t>
  </si>
  <si>
    <t>24-0330</t>
  </si>
  <si>
    <t>Giveaways</t>
  </si>
  <si>
    <t>Option 4</t>
  </si>
  <si>
    <t>24-0331</t>
  </si>
  <si>
    <t>Canvas print on frame (JAS)</t>
  </si>
  <si>
    <t>HiRes Digital Print on Canvas stretched onto 2 inches</t>
  </si>
  <si>
    <t>24-0332R1</t>
  </si>
  <si>
    <t>Certificate</t>
  </si>
  <si>
    <t>H43 x 29.5cm</t>
  </si>
  <si>
    <t>24-409</t>
  </si>
  <si>
    <t>24-0333</t>
  </si>
  <si>
    <t xml:space="preserve">Journal (DBSEH) </t>
  </si>
  <si>
    <t xml:space="preserve">A4 size Portrait, Cover: 300gsm art matt paper </t>
  </si>
  <si>
    <t>24-0334</t>
  </si>
  <si>
    <t>A4 Notepad (PECUNIA</t>
  </si>
  <si>
    <t>Inner Paper : 100 gsm woodfree, with 1/0 printing</t>
  </si>
  <si>
    <t>24-0335R</t>
  </si>
  <si>
    <t>MENLO</t>
  </si>
  <si>
    <t>Color: Navy Blue / White, Fabric : PolyCotton (58%Cotton, 42% Polyester)</t>
  </si>
  <si>
    <t>24-0336R1</t>
  </si>
  <si>
    <t xml:space="preserve">THERMO FISHER SCIENTIFIC </t>
  </si>
  <si>
    <t>Vacuum Mug With Cork Base - White</t>
  </si>
  <si>
    <t>Content: 180ml</t>
  </si>
  <si>
    <t>24-0337</t>
  </si>
  <si>
    <t>ABC Cargo</t>
  </si>
  <si>
    <t>Polo Shirt (Customized), Paper Bag</t>
  </si>
  <si>
    <t>Color: Red/White, Material : Drifit Cotton / 29w*23h*10d cm</t>
  </si>
  <si>
    <t>24-0338</t>
  </si>
  <si>
    <t>Meinhardt (Singapore) Pte Ltd (Iraq Branch)</t>
  </si>
  <si>
    <t>Safety Vest - Customized</t>
  </si>
  <si>
    <t>Fabric - Poly Cotton Twill</t>
  </si>
  <si>
    <t>24-0339R</t>
  </si>
  <si>
    <t>Size:27cm(l)x34cm(h)x12.5cm(w)</t>
  </si>
  <si>
    <t>24-0340R</t>
  </si>
  <si>
    <t>Size: A4, Total pages : 16 including cover</t>
  </si>
  <si>
    <t>24-0341</t>
  </si>
  <si>
    <t>Dubai Academic Health Corporation</t>
  </si>
  <si>
    <t>Ceramic Mugs</t>
  </si>
  <si>
    <t>, Tote Bags, Hoodie</t>
  </si>
  <si>
    <t>24-0342</t>
  </si>
  <si>
    <t>24-0343</t>
  </si>
  <si>
    <t>A5 pamphlets</t>
  </si>
  <si>
    <t>150 Gsm, Art glossy paper</t>
  </si>
  <si>
    <t xml:space="preserve">9 artwork x 1400 each </t>
  </si>
  <si>
    <t>24-0344</t>
  </si>
  <si>
    <t xml:space="preserve">Maersk Logistics and Services FZE </t>
  </si>
  <si>
    <t>Safety Jacket - Green,Safety Shoes Male</t>
  </si>
  <si>
    <t>With 2 sides logo embriodery</t>
  </si>
  <si>
    <t>24-0345</t>
  </si>
  <si>
    <t>DHR MENA FZ-LLC</t>
  </si>
  <si>
    <t>Welcome Kit</t>
  </si>
  <si>
    <t>24-0346</t>
  </si>
  <si>
    <t>Table cloth</t>
  </si>
  <si>
    <t xml:space="preserve">Size: 200x150cm , Bridal satin fabric </t>
  </si>
  <si>
    <t>24-0347</t>
  </si>
  <si>
    <t>24-0348</t>
  </si>
  <si>
    <t>400gsm art matt paper,With matt lamination</t>
  </si>
  <si>
    <t>24-0349</t>
  </si>
  <si>
    <t>Table Flag , Flags with Pole</t>
  </si>
  <si>
    <t>24-0350</t>
  </si>
  <si>
    <t>Scholars International Group</t>
  </si>
  <si>
    <t>Non woven bag</t>
  </si>
  <si>
    <t>Size: 38x 30 x 10cm,  Color : White + Orange border</t>
  </si>
  <si>
    <t>24-0351</t>
  </si>
  <si>
    <t>Banner with eyelets</t>
  </si>
  <si>
    <t xml:space="preserve">Size: 10 x 5m </t>
  </si>
  <si>
    <t>24-0352</t>
  </si>
  <si>
    <t>Gift Boxes</t>
  </si>
  <si>
    <t>Bamboo Style Gift set (Page reference 219 - top)</t>
  </si>
  <si>
    <t>24-0353</t>
  </si>
  <si>
    <t>24-0354R1</t>
  </si>
  <si>
    <t>Bamboo Style Gift set, Slim RPET 15.6" Laptop Backpack, Santhome Card - Digital Business NFC Card - Black</t>
  </si>
  <si>
    <t>24-0355</t>
  </si>
  <si>
    <t xml:space="preserve">Business Card </t>
  </si>
  <si>
    <t xml:space="preserve">Special paper 350+350 pasted </t>
  </si>
  <si>
    <t>200 x 3 Names</t>
  </si>
  <si>
    <t>24-0356</t>
  </si>
  <si>
    <t>Aquagene</t>
  </si>
  <si>
    <t xml:space="preserve">Logo Design </t>
  </si>
  <si>
    <t>3 options with 3 revisions</t>
  </si>
  <si>
    <t>24-0357</t>
  </si>
  <si>
    <t>Size: A5, 250 gsm art glossy paper, 4/4 printing</t>
  </si>
  <si>
    <t>24-0358</t>
  </si>
  <si>
    <t>Dataware Technologies LLC</t>
  </si>
  <si>
    <t>Customized Top/Bottom Box , Key chain</t>
  </si>
  <si>
    <t>Size: 13 x 11.5 x 3.3 (h) cm</t>
  </si>
  <si>
    <t>24-0359</t>
  </si>
  <si>
    <t>Brochures</t>
  </si>
  <si>
    <t>Size: A4 , 250 gsm art glossy paper, 4/4 printing</t>
  </si>
  <si>
    <t>24-0360R</t>
  </si>
  <si>
    <t>R TWO MARINE SERVICES FZE</t>
  </si>
  <si>
    <t>A5 Notebook, Pen, Non Woven Bag, Card Holder, Water Bottle</t>
  </si>
  <si>
    <t>24-0361R</t>
  </si>
  <si>
    <t xml:space="preserve"> Size: 30 x 19 x 11 cm
250 gsm art matt paper with lamination
4 color printing</t>
  </si>
  <si>
    <t>24-0362</t>
  </si>
  <si>
    <t>500 x 2 names</t>
  </si>
  <si>
    <t>24-0363</t>
  </si>
  <si>
    <t>Coloring Book - DBSJ</t>
  </si>
  <si>
    <t>Page Size - A5, Total pages: 16 including cover</t>
  </si>
  <si>
    <t>24-0364</t>
  </si>
  <si>
    <t>Photo booth - Floor standing - DBF</t>
  </si>
  <si>
    <t xml:space="preserve">Size: 120cm (height) x 90cm width </t>
  </si>
  <si>
    <t>24-0365</t>
  </si>
  <si>
    <t>Parking Permit</t>
  </si>
  <si>
    <t>Size: 6 cm, 400gsm foodboard</t>
  </si>
  <si>
    <t>24-0366R</t>
  </si>
  <si>
    <t xml:space="preserve">Polo Shirt </t>
  </si>
  <si>
    <t>24-0367</t>
  </si>
  <si>
    <t>Business cards</t>
  </si>
  <si>
    <t>400gsm art matt paper ,With matt lamination</t>
  </si>
  <si>
    <t>24-0368</t>
  </si>
  <si>
    <t>ID Card Holder and Lanyards</t>
  </si>
  <si>
    <t>Branding: 1 position, 1 color printing</t>
  </si>
  <si>
    <t>24-0369</t>
  </si>
  <si>
    <t>Business Cards - MTA</t>
  </si>
  <si>
    <t>400gsm art matt paper, With matt lamination</t>
  </si>
  <si>
    <t>24-0370</t>
  </si>
  <si>
    <t>20240327 - Hossam - iPanac - Manchester -Icam - Skill - Fast - Svarna</t>
  </si>
  <si>
    <t>Roll up, A3 Posters, Certificates</t>
  </si>
  <si>
    <t>24-0371</t>
  </si>
  <si>
    <t>Mr. Gonzalo Merodio</t>
  </si>
  <si>
    <t>A4 Sticker - Additional</t>
  </si>
  <si>
    <t>One side printing, Each A4 will have 12 stickers</t>
  </si>
  <si>
    <t>24-0372R1</t>
  </si>
  <si>
    <t>PRO Solutions and Services</t>
  </si>
  <si>
    <t>A5 Hard Cover Notebook (Customized)+ Pen</t>
  </si>
  <si>
    <t>Cover color: Whit</t>
  </si>
  <si>
    <t>24-0373</t>
  </si>
  <si>
    <t>Tote Bags, Pen, Tritan Water Bottle, Notebook</t>
  </si>
  <si>
    <t>24-0374</t>
  </si>
  <si>
    <t>Leaflet – 3 fold DBSJ</t>
  </si>
  <si>
    <t>Open size: 44.55x21cm – closed to A5</t>
  </si>
  <si>
    <t>24-0375</t>
  </si>
  <si>
    <t>Colors: Red</t>
  </si>
  <si>
    <t>24-0376</t>
  </si>
  <si>
    <t>Acrylic sandwich frame</t>
  </si>
  <si>
    <t>2.8mm clear acrylic - 2 pieces each set</t>
  </si>
  <si>
    <t>24-0377</t>
  </si>
  <si>
    <t>Deloitte Middle East</t>
  </si>
  <si>
    <t>Rollup Banner, Sticker mounted on foamboard</t>
  </si>
  <si>
    <t>Size: 200x85cm, Size: 300x200mm</t>
  </si>
  <si>
    <t>CLEEVAN</t>
  </si>
  <si>
    <t>24-0378</t>
  </si>
  <si>
    <t>Yearbook DBSJP</t>
  </si>
  <si>
    <t>Size : A4 landscape</t>
  </si>
  <si>
    <t>24-0379R1</t>
  </si>
  <si>
    <t xml:space="preserve">Yearbook (Raha School), </t>
  </si>
  <si>
    <t>24-0380</t>
  </si>
  <si>
    <t>UAE Flags</t>
  </si>
  <si>
    <t>Size:120cm x 80cm,</t>
  </si>
  <si>
    <t>24-0381</t>
  </si>
  <si>
    <t>Thank you Card, Notebook, PVC Sticker, Plaque</t>
  </si>
  <si>
    <t>24-0382</t>
  </si>
  <si>
    <t>Portrait Wooden Plaques with Box</t>
  </si>
  <si>
    <t>Size: 15x20cm, Box size: 17.5x22.5cm</t>
  </si>
  <si>
    <t>24-0383</t>
  </si>
  <si>
    <t>Swiss Business Council</t>
  </si>
  <si>
    <t>Metal Pin (UAE and Swiss Flags)</t>
  </si>
  <si>
    <t>Size: 25.1 mm x 17.4mm</t>
  </si>
  <si>
    <t>24-0384R</t>
  </si>
  <si>
    <t>Membership Directory 2025-26</t>
  </si>
  <si>
    <t>Hard case books, Size: A4, Pages: 200 Pages + 4 Cover</t>
  </si>
  <si>
    <t>24-0385</t>
  </si>
  <si>
    <t>Shajarah</t>
  </si>
  <si>
    <t>200 x 3 names</t>
  </si>
  <si>
    <t>24-0386</t>
  </si>
  <si>
    <t>EVCam</t>
  </si>
  <si>
    <t>Size: 36 x 24 inches (91.44x60.96cm)</t>
  </si>
  <si>
    <t>24-0387</t>
  </si>
  <si>
    <t xml:space="preserve">Balloons (Helium) </t>
  </si>
  <si>
    <t>Chrome Pink - 35pcs
Chrome White or Black - 35 pcs
Chrome Purple - 35 pcs</t>
  </si>
  <si>
    <t>24-0388</t>
  </si>
  <si>
    <t>ETON INSTITUTE</t>
  </si>
  <si>
    <t>MUG</t>
  </si>
  <si>
    <t>24-0389</t>
  </si>
  <si>
    <t>English Language Private School</t>
  </si>
  <si>
    <t>Graduation set, Trophy, Certificate Folder</t>
  </si>
  <si>
    <t>24-0390</t>
  </si>
  <si>
    <t>Cup Sleeve</t>
  </si>
  <si>
    <t>Size: 23.5 x 4.5 cm</t>
  </si>
  <si>
    <t>Mag Card Holder with Phone Stand - Black</t>
  </si>
  <si>
    <t>Size: 10.0 x 6.5 x 0.9 cm</t>
  </si>
  <si>
    <t>24-0392</t>
  </si>
  <si>
    <t>Distri Plus</t>
  </si>
  <si>
    <t>Rollup Banner</t>
  </si>
  <si>
    <t>Size: 200 x 85cm</t>
  </si>
  <si>
    <t>24-0393</t>
  </si>
  <si>
    <t>Brochure (Hourani)</t>
  </si>
  <si>
    <t>Size: 20.32x20.32cm</t>
  </si>
  <si>
    <t>24-0394</t>
  </si>
  <si>
    <t>20240415 - Fast - Migration</t>
  </si>
  <si>
    <t>24-0395</t>
  </si>
  <si>
    <t>24-0396R</t>
  </si>
  <si>
    <t xml:space="preserve">SEL Car Rental LLC </t>
  </si>
  <si>
    <t>Sticker (Paper)</t>
  </si>
  <si>
    <t>24-0397</t>
  </si>
  <si>
    <t xml:space="preserve">Ingersoll-Rand Technical and Services S A R L (Dubai Branch) </t>
  </si>
  <si>
    <t>Pledge card, Tent Card, Roll up</t>
  </si>
  <si>
    <t>24-0398</t>
  </si>
  <si>
    <t xml:space="preserve">Poster Board for Easel </t>
  </si>
  <si>
    <t>24-0399</t>
  </si>
  <si>
    <t>24-0400</t>
  </si>
  <si>
    <t>medals</t>
  </si>
  <si>
    <t>with branding</t>
  </si>
  <si>
    <t>24-0401R</t>
  </si>
  <si>
    <t>Executive Formal Shirts (Long sleeves)</t>
  </si>
  <si>
    <t>24-0405</t>
  </si>
  <si>
    <t>24-0402R</t>
  </si>
  <si>
    <t xml:space="preserve">Munich Motor Works </t>
  </si>
  <si>
    <t xml:space="preserve">Glass branding </t>
  </si>
  <si>
    <t>Size: 267x550cm</t>
  </si>
  <si>
    <t>24-0403</t>
  </si>
  <si>
    <t>Brochure (Destination Guide</t>
  </si>
  <si>
    <t>24-0404</t>
  </si>
  <si>
    <t>Color : Black</t>
  </si>
  <si>
    <t>24-0405R</t>
  </si>
  <si>
    <t>SEL Car Rental LLC</t>
  </si>
  <si>
    <t>Signage(Outdoor)</t>
  </si>
  <si>
    <t>Size: 415 x 135 cm; Metal frame with light (border), ACP(Black) box with acrylic 3D letter with light</t>
  </si>
  <si>
    <t>24-0406</t>
  </si>
  <si>
    <t xml:space="preserve">GMR Group | Indo Tausch Trading DMCC </t>
  </si>
  <si>
    <t>Rollup Banners</t>
  </si>
  <si>
    <t>Size: 200x85cm</t>
  </si>
  <si>
    <t>24-0407R</t>
  </si>
  <si>
    <t>Floor Stickers</t>
  </si>
  <si>
    <t>24-0408</t>
  </si>
  <si>
    <t>NotePad (top glue) - Taaleem</t>
  </si>
  <si>
    <t>24-0409</t>
  </si>
  <si>
    <t xml:space="preserve">Notebook (left spiral) (Taaleem) </t>
  </si>
  <si>
    <t xml:space="preserve">Size: a little bigger than A5 - 21cm height x 15.5cm width </t>
  </si>
  <si>
    <t>24-0410</t>
  </si>
  <si>
    <t>Customize PVC Luggage Tag (Raha School</t>
  </si>
  <si>
    <t>Size: 10.5x6.5cm</t>
  </si>
  <si>
    <t>500 X 2 ARTWORK</t>
  </si>
  <si>
    <t>24-0411R1</t>
  </si>
  <si>
    <t>Vehicle Branding</t>
  </si>
  <si>
    <t>Model: Toyota Hiace</t>
  </si>
  <si>
    <t>24-0412</t>
  </si>
  <si>
    <t>Beckman Coulter Life Sciences</t>
  </si>
  <si>
    <t xml:space="preserve">ID card with die cut for lanyard hook </t>
  </si>
  <si>
    <t>24-0413R</t>
  </si>
  <si>
    <t>360Photobooth</t>
  </si>
  <si>
    <t>24-0414R</t>
  </si>
  <si>
    <t>Dubai Academic Health CorporatioN (MBRU)</t>
  </si>
  <si>
    <t>Certificate Folder</t>
  </si>
  <si>
    <t xml:space="preserve">Stock : 350 gsm Art Matt Paper, </t>
  </si>
  <si>
    <t>24-0415</t>
  </si>
  <si>
    <t>24-0416</t>
  </si>
  <si>
    <t>White Cava cups</t>
  </si>
  <si>
    <t>24-0417</t>
  </si>
  <si>
    <t>Posters</t>
  </si>
  <si>
    <t>Material: Vinyl sticker mounted on 5mm foamboard</t>
  </si>
  <si>
    <t>24-0418</t>
  </si>
  <si>
    <t>AUSTRAL INTERNATIONAL DMCC</t>
  </si>
  <si>
    <t>Siganges</t>
  </si>
  <si>
    <t xml:space="preserve">Material: Sticker mounted on forex board, Material: Sticker mounted on 2.8mm white acrylic </t>
  </si>
  <si>
    <t>24-0419R2</t>
  </si>
  <si>
    <t>Spiral Notebooks(Left spiral) - Customized, Pen (Plastic), Water bottle, Mug with cork base with lid, Jute Bag</t>
  </si>
  <si>
    <t>Cover:170gsm art paper with printing mounted on 1200gsm kappaboard, Color: Black, Capacity : 500ml /600ml, Branding: 42 - with individual name+logo, Color: Natural / Black</t>
  </si>
  <si>
    <t>24-0361</t>
  </si>
  <si>
    <t>24-0420</t>
  </si>
  <si>
    <t>TETR, College of Business</t>
  </si>
  <si>
    <r>
      <t>Brochure,Pens (Plastic),Mug with cork base, Tote bags</t>
    </r>
    <r>
      <rPr>
        <b/>
        <sz val="11"/>
        <color theme="1"/>
        <rFont val="Aptos Narrow"/>
        <family val="2"/>
        <scheme val="minor"/>
      </rPr>
      <t>,</t>
    </r>
    <r>
      <rPr>
        <sz val="11"/>
        <color theme="1"/>
        <rFont val="Aptos Narrow"/>
        <family val="2"/>
        <scheme val="minor"/>
      </rPr>
      <t xml:space="preserve">Notebook </t>
    </r>
  </si>
  <si>
    <t>24-0421</t>
  </si>
  <si>
    <t xml:space="preserve">SThree Pte Ltd </t>
  </si>
  <si>
    <t xml:space="preserve">Dummy Cheque </t>
  </si>
  <si>
    <t>Size: 120 x 54 cm</t>
  </si>
  <si>
    <t>24-0422</t>
  </si>
  <si>
    <t>Rollup Banner, A3 Desktop Rollup,Table Runner</t>
  </si>
  <si>
    <t>24-0423</t>
  </si>
  <si>
    <t>Gamayun Consultancy Services FZE</t>
  </si>
  <si>
    <t xml:space="preserve">350gsm art matt paper with matt lamination </t>
  </si>
  <si>
    <t>24-0424</t>
  </si>
  <si>
    <t xml:space="preserve">Mighthouse </t>
  </si>
  <si>
    <t>A4 Folder, A5 Notebook, Pens</t>
  </si>
  <si>
    <t>24-0425</t>
  </si>
  <si>
    <t xml:space="preserve">Certificate A4 (GIS) </t>
  </si>
  <si>
    <t xml:space="preserve">Paper: Special Conqueror paper 350gsm </t>
  </si>
  <si>
    <t>24-0426</t>
  </si>
  <si>
    <t>Graduation Tickets (GIS)</t>
  </si>
  <si>
    <t xml:space="preserve">Size: A5 </t>
  </si>
  <si>
    <t>24-0427</t>
  </si>
  <si>
    <t>A4 Envelope</t>
  </si>
  <si>
    <t>Ready Made Paper Pouch brand</t>
  </si>
  <si>
    <t>24-0428R2</t>
  </si>
  <si>
    <t>Yearbook (UIS)</t>
  </si>
  <si>
    <t>24-394</t>
  </si>
  <si>
    <t>24-0429</t>
  </si>
  <si>
    <t xml:space="preserve">Table Cloth (AAG) </t>
  </si>
  <si>
    <t>Table size: 180x80cm</t>
  </si>
  <si>
    <t>24-0430R</t>
  </si>
  <si>
    <t>Paradigm</t>
  </si>
  <si>
    <t>Outdoor Signage</t>
  </si>
  <si>
    <t xml:space="preserve">Size: 5.8m x 1.2m </t>
  </si>
  <si>
    <t>24-0431</t>
  </si>
  <si>
    <t xml:space="preserve">Cloth Bag - Cotton </t>
  </si>
  <si>
    <t>Colour : Black</t>
  </si>
  <si>
    <t>24-0432</t>
  </si>
  <si>
    <t>Continental Family voucher / Continental Family Voucher envelope</t>
  </si>
  <si>
    <t>Size: 21.5x11cm</t>
  </si>
  <si>
    <t>24-0433R</t>
  </si>
  <si>
    <t xml:space="preserve">Light boxes (Dubai School – Barsha) </t>
  </si>
  <si>
    <t xml:space="preserve">size: 500cm(height)x300cm(width), 500cm(height)x200cm(width) </t>
  </si>
  <si>
    <t>24-0434</t>
  </si>
  <si>
    <t>JAS School - Board names</t>
  </si>
  <si>
    <t>24-0435</t>
  </si>
  <si>
    <t>Applus Energy &amp; Industry Division</t>
  </si>
  <si>
    <t xml:space="preserve">Lamination </t>
  </si>
  <si>
    <t>24-0436</t>
  </si>
  <si>
    <t xml:space="preserve">Argus Media </t>
  </si>
  <si>
    <t>4gb</t>
  </si>
  <si>
    <t>24-0437</t>
  </si>
  <si>
    <t>Size: A3</t>
  </si>
  <si>
    <t>24-0438</t>
  </si>
  <si>
    <t xml:space="preserve">Easel Poster - GIS </t>
  </si>
  <si>
    <t>Vinyl sticker on 10mm foamboard</t>
  </si>
  <si>
    <t>24-0439</t>
  </si>
  <si>
    <t xml:space="preserve">JAS Board </t>
  </si>
  <si>
    <t>replace old names and add new one</t>
  </si>
  <si>
    <t>24-0439-AR3</t>
  </si>
  <si>
    <t>Al Jalila Foundation</t>
  </si>
  <si>
    <t>Diary Twin Note, Pens, Name Board, Tissue Box, A4 Folder, PU folder, Tea Coaster, Notepad</t>
  </si>
  <si>
    <t>24-0440</t>
  </si>
  <si>
    <t>Pop up banner,Backdrop with frame</t>
  </si>
  <si>
    <t>Size: 3 x 4 m</t>
  </si>
  <si>
    <t>24-0441</t>
  </si>
  <si>
    <t xml:space="preserve">20240415 - Fast - Migration </t>
  </si>
  <si>
    <t>24-0442</t>
  </si>
  <si>
    <t>Business cards - DBS</t>
  </si>
  <si>
    <t>24-0443</t>
  </si>
  <si>
    <t>Graduation Caps - 5th Grade (UIS), Graduation Caps - KG2(UIS)</t>
  </si>
  <si>
    <t>24-0444</t>
  </si>
  <si>
    <t xml:space="preserve">PVC Badge </t>
  </si>
  <si>
    <t>Size: 7 x 3 cm</t>
  </si>
  <si>
    <t>24-0445</t>
  </si>
  <si>
    <t>Size: A1(59.4 x 84.1 cm)</t>
  </si>
  <si>
    <t>24-0446R</t>
  </si>
  <si>
    <t>Access cards</t>
  </si>
  <si>
    <t>with printing on 2 sides</t>
  </si>
  <si>
    <t>24-0447</t>
  </si>
  <si>
    <r>
      <t>Brochure,Pens (Plastic),Mug with cork base, Tote bags</t>
    </r>
    <r>
      <rPr>
        <b/>
        <sz val="11"/>
        <color theme="1"/>
        <rFont val="Aptos Narrow"/>
        <family val="2"/>
        <scheme val="minor"/>
      </rPr>
      <t>,</t>
    </r>
    <r>
      <rPr>
        <sz val="11"/>
        <color theme="1"/>
        <rFont val="Aptos Narrow"/>
        <family val="2"/>
        <scheme val="minor"/>
      </rPr>
      <t>Notebook , Booth branding</t>
    </r>
  </si>
  <si>
    <t>24-0448</t>
  </si>
  <si>
    <t xml:space="preserve">Emirates for Universal Tyres </t>
  </si>
  <si>
    <t>Vehicle Branding - DUCKHAM, Removal of old sticker</t>
  </si>
  <si>
    <t>24-0449R</t>
  </si>
  <si>
    <t>DYNAMIC EMPLOYMENT SERVICES L.L.C</t>
  </si>
  <si>
    <t>Black Metal Pen</t>
  </si>
  <si>
    <t>Black refill ink</t>
  </si>
  <si>
    <t>24-0450</t>
  </si>
  <si>
    <t>Size : 8.5 x 5 cm</t>
  </si>
  <si>
    <t>500 x 4 names</t>
  </si>
  <si>
    <t>24-0451</t>
  </si>
  <si>
    <t>Canvas printing - Jamil Azzam</t>
  </si>
  <si>
    <t xml:space="preserve">Size : 20x24inches (50.8x60.96cm) </t>
  </si>
  <si>
    <t>24-0452</t>
  </si>
  <si>
    <t xml:space="preserve">400gsm art matt paper , With matt lamination </t>
  </si>
  <si>
    <t>24-0453R2</t>
  </si>
  <si>
    <t>Rol up , agenda card, table tent, name badges,certficate</t>
  </si>
  <si>
    <t>24-0454</t>
  </si>
  <si>
    <t xml:space="preserve">Graduation event - JBS </t>
  </si>
  <si>
    <t xml:space="preserve">Recipe Book Cover, Programme Book Cover, Printing on Canvas bag(Client provided) </t>
  </si>
  <si>
    <t>24-0455</t>
  </si>
  <si>
    <t xml:space="preserve">Azalee Flower Boutique </t>
  </si>
  <si>
    <t>Flower Box</t>
  </si>
  <si>
    <t>Size: 16 D X 18 H cm, Size: 20 D X 25 H cm</t>
  </si>
  <si>
    <t>24-0456</t>
  </si>
  <si>
    <t>Dubai Academic Health Corporation (MBRU)</t>
  </si>
  <si>
    <t>A4/DL Envelope, A5 Notepad, Certificate Holder,  Pencils</t>
  </si>
  <si>
    <t>24-0457</t>
  </si>
  <si>
    <t>Size: A4, Size A5</t>
  </si>
  <si>
    <t>24-0458</t>
  </si>
  <si>
    <t>Mug</t>
  </si>
  <si>
    <t>6oz, Size: 7.5x6.5cm dia</t>
  </si>
  <si>
    <t>24-0459</t>
  </si>
  <si>
    <t>ECOTAG box</t>
  </si>
  <si>
    <t>Slide out box</t>
  </si>
  <si>
    <t>24-0460</t>
  </si>
  <si>
    <t>Tote Bags, Sticker, Flyers, Polo Shirt</t>
  </si>
  <si>
    <t>Size: 38x42cm,Size: 6.35 cm dia, 250gsm art glossy paper</t>
  </si>
  <si>
    <t>24-0461</t>
  </si>
  <si>
    <t>Notepad</t>
  </si>
  <si>
    <t>Creatives for Flyer, posters, roll up banner</t>
  </si>
  <si>
    <t>24-0462R</t>
  </si>
  <si>
    <t xml:space="preserve">Designing Charges/ month </t>
  </si>
  <si>
    <t>24-0463</t>
  </si>
  <si>
    <t>Name badges</t>
  </si>
  <si>
    <t>Size: 6x1.5cm</t>
  </si>
  <si>
    <t>24-0464</t>
  </si>
  <si>
    <t>Canadian University Dubai</t>
  </si>
  <si>
    <t>Two Tone Ceramic mug with spoon</t>
  </si>
  <si>
    <t>11 oz, 325 m</t>
  </si>
  <si>
    <t>24-0465</t>
  </si>
  <si>
    <t>Brand : Hispape</t>
  </si>
  <si>
    <t>24-0466</t>
  </si>
  <si>
    <t xml:space="preserve">Canadian University Dubai </t>
  </si>
  <si>
    <t>Recycled Spiral Notebook &amp; Metal pen</t>
  </si>
  <si>
    <t>24-0467</t>
  </si>
  <si>
    <t xml:space="preserve">Em-Normandie Business School </t>
  </si>
  <si>
    <t>Wax Seal</t>
  </si>
  <si>
    <t>Size: 3cm dia</t>
  </si>
  <si>
    <t>24-0468</t>
  </si>
  <si>
    <t>24-0469R</t>
  </si>
  <si>
    <t>24-0470</t>
  </si>
  <si>
    <t>VL MEA Marketing Management Ltd</t>
  </si>
  <si>
    <t>Key USB</t>
  </si>
  <si>
    <t>Color: Black, 4gb</t>
  </si>
  <si>
    <t>24-0471R</t>
  </si>
  <si>
    <t>Ingersoll-Rand Technical and Services S A R L (Dubai Branch</t>
  </si>
  <si>
    <t>24-0472R2</t>
  </si>
  <si>
    <t>id card, id card holder, Reel badge (Male), Lanyard (Ready made - female)</t>
  </si>
  <si>
    <t>2 side printing, color: blue</t>
  </si>
  <si>
    <t>24-0473</t>
  </si>
  <si>
    <t xml:space="preserve">Booth branding </t>
  </si>
  <si>
    <t>UAE Education Interface - ABU DHABI 27-28 MAY 2024</t>
  </si>
  <si>
    <t>24-0474</t>
  </si>
  <si>
    <t xml:space="preserve">Pop Up banner  (Straight) </t>
  </si>
  <si>
    <t xml:space="preserve">Size 4x3 </t>
  </si>
  <si>
    <t>24-0475</t>
  </si>
  <si>
    <t>Metal Pin - MBRU Alumni</t>
  </si>
  <si>
    <t>Size: 1 x 1 inch (2.54x2.54cm)</t>
  </si>
  <si>
    <t>24-0476R</t>
  </si>
  <si>
    <t>Flags with wooden stick (DBSJ)</t>
  </si>
  <si>
    <t>Size: 25x40cm</t>
  </si>
  <si>
    <t>24-0477R</t>
  </si>
  <si>
    <t>Global Connect</t>
  </si>
  <si>
    <t xml:space="preserve">Office branding </t>
  </si>
  <si>
    <t>24-0478</t>
  </si>
  <si>
    <t>24-0479r3</t>
  </si>
  <si>
    <t>Teddy Bear</t>
  </si>
  <si>
    <t>24-0480</t>
  </si>
  <si>
    <t>Mayer Brown</t>
  </si>
  <si>
    <t>Double wall vaccum insulated thermal mug - 500ml</t>
  </si>
  <si>
    <t>24-0481</t>
  </si>
  <si>
    <t xml:space="preserve">Emirates Environment Group </t>
  </si>
  <si>
    <t>Event Photography/Videography</t>
  </si>
  <si>
    <t>24-0482</t>
  </si>
  <si>
    <t>Simfoni</t>
  </si>
  <si>
    <t>Balaclava, Caps with flap</t>
  </si>
  <si>
    <t>24-0483</t>
  </si>
  <si>
    <t>Stockmeier Urethanes</t>
  </si>
  <si>
    <t>Notebooks, pens, and Non woven bags</t>
  </si>
  <si>
    <t>24-0484</t>
  </si>
  <si>
    <t>Magnetic flip Box</t>
  </si>
  <si>
    <t>Box Size: 45 x 30 x 30 cm</t>
  </si>
  <si>
    <t>24-0485</t>
  </si>
  <si>
    <t>Journal (DBSEH)</t>
  </si>
  <si>
    <t>A4 size Portrait</t>
  </si>
  <si>
    <t>24-0486</t>
  </si>
  <si>
    <t>JBS G12 Graduation Program 2024 Book</t>
  </si>
  <si>
    <t>24-0487R</t>
  </si>
  <si>
    <t>Vaao</t>
  </si>
  <si>
    <t>Paper Bag, Shelf talker</t>
  </si>
  <si>
    <t xml:space="preserve">Bag Size 20 x 20 x 9cm , Printing on 175gsm G582 micron sheet </t>
  </si>
  <si>
    <t>24-0488</t>
  </si>
  <si>
    <t xml:space="preserve">Size: 15x20cm, Box size: 17.5x22.5cm </t>
  </si>
  <si>
    <t>24-0489R</t>
  </si>
  <si>
    <t>Metal Pin - 2024</t>
  </si>
  <si>
    <t>Size H: 3cm W:2cm</t>
  </si>
  <si>
    <t>24-0490R</t>
  </si>
  <si>
    <t>Recycled Notebook with Pen</t>
  </si>
  <si>
    <t>Material: Cardboard Cover</t>
  </si>
  <si>
    <t>24-0491</t>
  </si>
  <si>
    <t xml:space="preserve">Special paper </t>
  </si>
  <si>
    <t>24-0492R2</t>
  </si>
  <si>
    <t>MSB Private School</t>
  </si>
  <si>
    <t>Notebooks</t>
  </si>
  <si>
    <t>24-0360</t>
  </si>
  <si>
    <t>24-0493</t>
  </si>
  <si>
    <t>The Hub General Trading LLC</t>
  </si>
  <si>
    <t xml:space="preserve">Size :42 x 29.7cm </t>
  </si>
  <si>
    <t>24-0494</t>
  </si>
  <si>
    <t>Fast Planet Freight</t>
  </si>
  <si>
    <t>24-0495R</t>
  </si>
  <si>
    <t xml:space="preserve">Leather Luggage tags (Customized) </t>
  </si>
  <si>
    <t>Size: 10x6cm</t>
  </si>
  <si>
    <t>24-0496</t>
  </si>
  <si>
    <t>Pocket Folder/etc</t>
  </si>
  <si>
    <t>24-0497</t>
  </si>
  <si>
    <t>20240508 - Sanji - Cassol - Aussizz - Al Tareeq</t>
  </si>
  <si>
    <t>24-0498</t>
  </si>
  <si>
    <t>Trophy, Hoodies</t>
  </si>
  <si>
    <t>24-0499</t>
  </si>
  <si>
    <t xml:space="preserve">Tri fold brochure </t>
  </si>
  <si>
    <t>Size: Open size: A4</t>
  </si>
  <si>
    <t>24-0500</t>
  </si>
  <si>
    <t>Notebook (Customized) , pens</t>
  </si>
  <si>
    <t>24-0501</t>
  </si>
  <si>
    <t>24-0502R</t>
  </si>
  <si>
    <t>Brochure - SRH International College , Brochures ICN ,  Paper baG</t>
  </si>
  <si>
    <t>Size: A3 to A4 Flyer, Size: A4</t>
  </si>
  <si>
    <t>24-0503</t>
  </si>
  <si>
    <t>BuHaleeba Contracting</t>
  </si>
  <si>
    <t>WORK JOB CARD BOOK, PRINT- CRADLE INSPECTION CHECKLIST BOOK</t>
  </si>
  <si>
    <t>A-4 , FOUR COLOUR [1+2 X 50] [W+B+Y]</t>
  </si>
  <si>
    <t>24-0504</t>
  </si>
  <si>
    <t>Symbiosis</t>
  </si>
  <si>
    <t>10W Wireless Charger &amp; Writeable Mouse Pad - Blac, 10W Wireless Charger PU Mouse Pad - Black, Eco-neutral 3-in-1 Bamboo 10W  Simultaneous Charging Station, Cork Mouse Pad with 15W Wireless Charger, Mag 3 in 1 Foldable Cork Wireless Charger, Hard Cover Notebook and Pen Set - White</t>
  </si>
  <si>
    <t xml:space="preserve">Color: Black, is a 2-in-1 mousepad with detachable, a 3-in-1 solid bamboo docking station,Natural Cork Mousepad with built in ,Size: 12.5 x 13.5 x 2.0 cm , Size: A5 </t>
  </si>
  <si>
    <t>24-0505</t>
  </si>
  <si>
    <t>Size : A4</t>
  </si>
  <si>
    <t>24-0506</t>
  </si>
  <si>
    <t xml:space="preserve">Casaire </t>
  </si>
  <si>
    <t>24-0507</t>
  </si>
  <si>
    <t>USB 4 Gb - Swivel</t>
  </si>
  <si>
    <t xml:space="preserve">Full black </t>
  </si>
  <si>
    <t>24-0508</t>
  </si>
  <si>
    <t>Tissue Box Holder</t>
  </si>
  <si>
    <t>Material : PU leather</t>
  </si>
  <si>
    <t>24-0509</t>
  </si>
  <si>
    <t>Size: 100 x 50 cm</t>
  </si>
  <si>
    <t>RAVI</t>
  </si>
  <si>
    <t>24-0510</t>
  </si>
  <si>
    <t>Hoodie with zipper, Recycled 15W Wireless Charger Bluetooth Speaker, Waterbottle</t>
  </si>
  <si>
    <t>24-0511</t>
  </si>
  <si>
    <t xml:space="preserve">Polo shirts (kids) </t>
  </si>
  <si>
    <t xml:space="preserve">Color: White </t>
  </si>
  <si>
    <t>100 x 3 sizes</t>
  </si>
  <si>
    <t>24-0512</t>
  </si>
  <si>
    <t>Hard cover PU Notebook</t>
  </si>
  <si>
    <t>24-0513R1</t>
  </si>
  <si>
    <t>Tea Coaster,Bamboo Phone Stands,Vertical Non Woven Bag - Readymade,PU Notebook with Pen Holder</t>
  </si>
  <si>
    <t>Size: 9cm dia, Size: 60 x 80 x 20 mm, Color : White, Size: A5</t>
  </si>
  <si>
    <t>24-0514</t>
  </si>
  <si>
    <t>Yearbook - AAG</t>
  </si>
  <si>
    <t>24-0515</t>
  </si>
  <si>
    <t>A5 Notebook, Pens</t>
  </si>
  <si>
    <t>24-0516</t>
  </si>
  <si>
    <t xml:space="preserve">Al Jawaher Reception &amp; Convention Centre </t>
  </si>
  <si>
    <t>Vehicle Branding-Toyota Innova</t>
  </si>
  <si>
    <t>Branding: back and 2 side doors</t>
  </si>
  <si>
    <t>24-0517</t>
  </si>
  <si>
    <t>The Hub</t>
  </si>
  <si>
    <t>3D Signage</t>
  </si>
  <si>
    <t>Size: 75 x 10 cm approx</t>
  </si>
  <si>
    <t>24-0518</t>
  </si>
  <si>
    <t>Mighthouse</t>
  </si>
  <si>
    <t>Country Name Stickers</t>
  </si>
  <si>
    <t>Size: 10 x 3 cm</t>
  </si>
  <si>
    <t>24-0519R1</t>
  </si>
  <si>
    <t>A4 Notepad (PECUNIA),Pen (Metal),A4 Pocket folder,A4 Notepad (PECUNIA)</t>
  </si>
  <si>
    <t>Inner Paper : 100 gsm woodfree, Branding : 1 Position Logo engraving, 4/4 printing, Inner paper - 100 gsm woodfree</t>
  </si>
  <si>
    <t>24-0520</t>
  </si>
  <si>
    <t>Ceramic Mugs, Envelope, tags</t>
  </si>
  <si>
    <t>24-0521</t>
  </si>
  <si>
    <t>Students Course Guide, Metal Pens, A4 Flyers</t>
  </si>
  <si>
    <t>24-0521-A</t>
  </si>
  <si>
    <t>Tyche Moon Trading</t>
  </si>
  <si>
    <t>Material: Vinyl sticker</t>
  </si>
  <si>
    <t>24-0522-A</t>
  </si>
  <si>
    <t>Glass and Bamboo Flask</t>
  </si>
  <si>
    <t>Size : 7 cm x 23 cm</t>
  </si>
  <si>
    <t>24-0522R1</t>
  </si>
  <si>
    <t>Elegant PU 15.6" Laptop Bag(Customized) ,OPTION 2: SKROSS Travel 1,OPTION 3: SKROSS Travel 2 ,OPTION 4: Soft Anti-Theft Backpack - Black,OPTION 5: HANGE Collection Slim RPET 15.6" Laptop Backpack, OPTION 6: RPET Laptop Bag,OPTION 7: XL Laptop Backpack 21L - Black</t>
  </si>
  <si>
    <t>laptop compartment, strong handles,Proactive 15.6” laptop storage,made of luxury saffiano PU leather with resilient 1680D,Anti-theft design with hidden RFID protected pockets,made from premium durable recycled PET (rPET) fabric,15.6" laptop compartment,With Antimicrobial exterior fabric to ensure that your</t>
  </si>
  <si>
    <t>24-0523R</t>
  </si>
  <si>
    <t>250 x 2 names</t>
  </si>
  <si>
    <t>24-0524</t>
  </si>
  <si>
    <t>Dublin Training</t>
  </si>
  <si>
    <t xml:space="preserve">Roll up, A3 Posters,Certificates </t>
  </si>
  <si>
    <t>24-0525</t>
  </si>
  <si>
    <t>Nipa Decorations</t>
  </si>
  <si>
    <t>Revamping of existing website www.nipa.ae</t>
  </si>
  <si>
    <t>Redesigning of all 14 pages</t>
  </si>
  <si>
    <t>24-0526</t>
  </si>
  <si>
    <t>SEO/SMM/ DIGITAL MARKETING</t>
  </si>
  <si>
    <t>24-0527</t>
  </si>
  <si>
    <t>6XL with branding</t>
  </si>
  <si>
    <t>24-0528</t>
  </si>
  <si>
    <t>Patient Profile Books</t>
  </si>
  <si>
    <t>Soze: A4, Paper Pouch</t>
  </si>
  <si>
    <t>24-0529</t>
  </si>
  <si>
    <t>Ms. Hamilton</t>
  </si>
  <si>
    <t>Branding on Supplied Shirts</t>
  </si>
  <si>
    <t>2 position printing</t>
  </si>
  <si>
    <t>24-0530</t>
  </si>
  <si>
    <t>Flag</t>
  </si>
  <si>
    <t>Size: 18.5cm x 26cm</t>
  </si>
  <si>
    <t>24-0531</t>
  </si>
  <si>
    <t>100 x 2 names</t>
  </si>
  <si>
    <t>24-0532</t>
  </si>
  <si>
    <t>TK Elevator UAE</t>
  </si>
  <si>
    <t>Comic Book</t>
  </si>
  <si>
    <t>24-0533R2</t>
  </si>
  <si>
    <t>Mead Medical</t>
  </si>
  <si>
    <t>24-387</t>
  </si>
  <si>
    <t>24-0534</t>
  </si>
  <si>
    <t>Dot Studio Tech</t>
  </si>
  <si>
    <t>Water bottle - Thermometre display,Jute bag ,Jenga game ,Plantable Pencil,Plush Toy (Camel)</t>
  </si>
  <si>
    <t>24-0535</t>
  </si>
  <si>
    <t>Roll Up Banner</t>
  </si>
  <si>
    <t>Size: 200 x 85 cm</t>
  </si>
  <si>
    <t>24-0536</t>
  </si>
  <si>
    <t>3D Free standing Hashtag Signage - Dubai School</t>
  </si>
  <si>
    <t>DS NAS - Size: 526.4x100cm, 3D Free standing Hashtag Signage - Dubai School</t>
  </si>
  <si>
    <t>24-0537</t>
  </si>
  <si>
    <t>DSB - Size : 336.8x100cm</t>
  </si>
  <si>
    <t>24-0538</t>
  </si>
  <si>
    <t>Balloons (Helium)</t>
  </si>
  <si>
    <t>Chrome White - 35pcs,Chrome Black - 35 pcs</t>
  </si>
  <si>
    <t>24-0539</t>
  </si>
  <si>
    <t>The Brand Mechanics</t>
  </si>
  <si>
    <t>Size - 18.5 x 20 cm</t>
  </si>
  <si>
    <t>24-0540</t>
  </si>
  <si>
    <t>Ms. Connie</t>
  </si>
  <si>
    <t>Plant a Pencil Kit</t>
  </si>
  <si>
    <t>Size: 13.5x20x5cm</t>
  </si>
  <si>
    <t>24-0541</t>
  </si>
  <si>
    <t>Coloring Book</t>
  </si>
  <si>
    <t>Page Size - A5</t>
  </si>
  <si>
    <t>24-0542</t>
  </si>
  <si>
    <t>Passport books</t>
  </si>
  <si>
    <t>10 pages small booklet similar to  Dubai Expo passport size with branding.</t>
  </si>
  <si>
    <t>24-0543</t>
  </si>
  <si>
    <t>Vehicle Branding (2 Doors)</t>
  </si>
  <si>
    <t>Option 1: Sticker, Size: 80x100cm</t>
  </si>
  <si>
    <t>SABARISH</t>
  </si>
  <si>
    <t>24-0544</t>
  </si>
  <si>
    <t>Roll up Banner</t>
  </si>
  <si>
    <t>Size : 200 * 85 cm</t>
  </si>
  <si>
    <t>24-0545R</t>
  </si>
  <si>
    <t>Change of Fabric for Backdrop, Flag</t>
  </si>
  <si>
    <t xml:space="preserve">Size: 3x2.30 mtr, Size: 25x15cm </t>
  </si>
  <si>
    <t>24-0546R</t>
  </si>
  <si>
    <t xml:space="preserve">Hoodie with zipper,DUAL USB Travel Adapter </t>
  </si>
  <si>
    <t>Color: Dark Blue, Size: 70x65x50mm</t>
  </si>
  <si>
    <t>24-0547</t>
  </si>
  <si>
    <t>Yearbook</t>
  </si>
  <si>
    <t xml:space="preserve">Size: A4 Portrait </t>
  </si>
  <si>
    <t>24-0548R</t>
  </si>
  <si>
    <t>Office branding:</t>
  </si>
  <si>
    <t>8th Floor Phase 3</t>
  </si>
  <si>
    <t>24-0549</t>
  </si>
  <si>
    <t>Powerbank - 5000mAH, Bucket Hat,Borosilicate Glass Water bottle ,Canvas bag</t>
  </si>
  <si>
    <t>Size: 90x63x13mm, Colors available: White,Navy Blue, Black and Beige, with cork sleeve and bamboo lid, Size: 40x44x15 cm</t>
  </si>
  <si>
    <t>24-0550R</t>
  </si>
  <si>
    <t>Signboard - (Staff and visitor parking), Parking Sticker,  Signboard - NO PARKING , Inducted Site Safety first sticker</t>
  </si>
  <si>
    <t>Size: 50x30cm, Size:60x 40cm, Sign: 40x30cm, Size: 6x2cm</t>
  </si>
  <si>
    <t>24-0551</t>
  </si>
  <si>
    <t>Bahmani Manufacturing &amp; Industrial Technology</t>
  </si>
  <si>
    <t xml:space="preserve">Polo Shirt, Baseball Cap (Cotton brish, 6 panel) , Roll Up, Stickers, Business Card </t>
  </si>
  <si>
    <t>Color: Blue, Size: 200 x 85 cm, Sizes, 350 gsm art matt paper</t>
  </si>
  <si>
    <t>24-0552</t>
  </si>
  <si>
    <t>Ribbon with printing</t>
  </si>
  <si>
    <t>2.5cm thicknes</t>
  </si>
  <si>
    <t>24-0553R</t>
  </si>
  <si>
    <t>Polo shirts</t>
  </si>
  <si>
    <t xml:space="preserve"> Material : Mesh Polyester (Flourscent green and dark blue)Polo Shirts</t>
  </si>
  <si>
    <t>24-367</t>
  </si>
  <si>
    <t>24-0554</t>
  </si>
  <si>
    <t>Size: A4 folded DL</t>
  </si>
  <si>
    <t>24-0366</t>
  </si>
  <si>
    <t>24-0555</t>
  </si>
  <si>
    <t>Miss. Rayaanah</t>
  </si>
  <si>
    <t>Wide Flame Crystal Awards with Glass base &amp; Box</t>
  </si>
  <si>
    <t>Size: 133 x 43 x 210 mm</t>
  </si>
  <si>
    <t>DM</t>
  </si>
  <si>
    <t>24-0556R2</t>
  </si>
  <si>
    <t>Polo shirts, Rollup, Brochure</t>
  </si>
  <si>
    <t>Fabric: Like Lacoste fabric, thin, size:: 200x85cm,Open size : 75w x42h cms</t>
  </si>
  <si>
    <t>24-0557</t>
  </si>
  <si>
    <t xml:space="preserve">Recycled Solar Speaker &amp; Lamp - Black,  Recycled Bluetooth Speaker, Wide Flame Crystal Awards with Glass base &amp; Box </t>
  </si>
  <si>
    <t>24-0558</t>
  </si>
  <si>
    <t>Prescription Pad</t>
  </si>
  <si>
    <t>24-0559</t>
  </si>
  <si>
    <t>A4 Paper Bag - Vertical</t>
  </si>
  <si>
    <t>24-0560</t>
  </si>
  <si>
    <t>Fabric – Drifit Cotton</t>
  </si>
  <si>
    <t>24-0561</t>
  </si>
  <si>
    <t>Santhome Round Neck Tshirt (Premium)</t>
  </si>
  <si>
    <t>Sizes available: S/M/L/XL/XXL/XXXL</t>
  </si>
  <si>
    <t>24-0562</t>
  </si>
  <si>
    <t>Volunteers Cards</t>
  </si>
  <si>
    <t>Size: 8.5x5.5cm</t>
  </si>
  <si>
    <t>24-0563R1</t>
  </si>
  <si>
    <t>PEDIA Tape, Designing</t>
  </si>
  <si>
    <t>Size: 74(w)x9.5cm(h)x2 (pasted)</t>
  </si>
  <si>
    <t>-</t>
  </si>
  <si>
    <t>24-0564</t>
  </si>
  <si>
    <t>VIP Magnetic cord lanyard</t>
  </si>
  <si>
    <t>High end metal magnetic safety breakaway</t>
  </si>
  <si>
    <t>24-371</t>
  </si>
  <si>
    <t>24-0565</t>
  </si>
  <si>
    <t>Banner</t>
  </si>
  <si>
    <t>Size : 15*3 METER</t>
  </si>
  <si>
    <t>24-0566R</t>
  </si>
  <si>
    <t>OE Table guide (Poster), OE Table guide(Mousepad material</t>
  </si>
  <si>
    <t>Size: 100x30cm, Size: 91x46cm (maximum size), 3mm thickness</t>
  </si>
  <si>
    <t>24-0567</t>
  </si>
  <si>
    <t>Stickers</t>
  </si>
  <si>
    <t>Size: 8x5cm</t>
  </si>
  <si>
    <t>24-0568R1</t>
  </si>
  <si>
    <t>Double Wall Vacuum Water bottle,Eco-neutral A5 Cork Fabric Hard Cover Notebook and Pen Set-Red, Bookmark, Red Ribbons</t>
  </si>
  <si>
    <t>24-0569</t>
  </si>
  <si>
    <t>Luggage Tags</t>
  </si>
  <si>
    <t>24-0570</t>
  </si>
  <si>
    <t>ID Card wallet</t>
  </si>
  <si>
    <t>Size:11x7cm</t>
  </si>
  <si>
    <t>24-0571R</t>
  </si>
  <si>
    <t xml:space="preserve"> Photo printing (Jebel Ali School ), Photo printing</t>
  </si>
  <si>
    <t>Size: A3 (29.7x42cm), Size: A4 (21x29.7cm)</t>
  </si>
  <si>
    <t>24-0572</t>
  </si>
  <si>
    <t>350+350 gsm art matt paper pasted</t>
  </si>
  <si>
    <t>200*1 name</t>
  </si>
  <si>
    <t>24-0573</t>
  </si>
  <si>
    <t>50*13 Names</t>
  </si>
  <si>
    <t>24-0574</t>
  </si>
  <si>
    <t>White hard cover notebook - Spiral binding (Left) – Charter School</t>
  </si>
  <si>
    <t>24-0575</t>
  </si>
  <si>
    <t>Brochure - (DBSEH)</t>
  </si>
  <si>
    <t>A4 size (portrait)</t>
  </si>
  <si>
    <t>24-0576</t>
  </si>
  <si>
    <t>Mr. Jojo</t>
  </si>
  <si>
    <t>Sticker PVC</t>
  </si>
  <si>
    <t>Size:5x5 (1 A4 x 20 stickers)</t>
  </si>
  <si>
    <t>100 sheets</t>
  </si>
  <si>
    <t>24-0577R</t>
  </si>
  <si>
    <t xml:space="preserve">Staff ID Card priting, Lanyard (Ready made) </t>
  </si>
  <si>
    <t>Size: 8.5x5.5cm, Color: White</t>
  </si>
  <si>
    <t>24-0578</t>
  </si>
  <si>
    <t>Flyer – Dubai School</t>
  </si>
  <si>
    <t>24-0579</t>
  </si>
  <si>
    <t>Student Health File Book</t>
  </si>
  <si>
    <t>Size:A4</t>
  </si>
  <si>
    <t>24-0580</t>
  </si>
  <si>
    <t>Ms. Charmine</t>
  </si>
  <si>
    <t>Ceramic mugs</t>
  </si>
  <si>
    <t>with printing</t>
  </si>
  <si>
    <t>24-0580R-A</t>
  </si>
  <si>
    <t>Sticker</t>
  </si>
  <si>
    <t>24-0581R</t>
  </si>
  <si>
    <t>Car reverse stickers - Dubai School</t>
  </si>
  <si>
    <t>Size: 9x9 cm</t>
  </si>
  <si>
    <t>24-0582</t>
  </si>
  <si>
    <t>Kaizen Business Consultants</t>
  </si>
  <si>
    <t xml:space="preserve">Size:9x5 </t>
  </si>
  <si>
    <t>BNI</t>
  </si>
  <si>
    <t>24-0583</t>
  </si>
  <si>
    <t xml:space="preserve">Wall sticker - Phone Booth </t>
  </si>
  <si>
    <t xml:space="preserve">Size: :  Height – 252, Wide – 164 CM - x 3 walls </t>
  </si>
  <si>
    <t>24-0584</t>
  </si>
  <si>
    <t>RIMO Pharmaceuticals</t>
  </si>
  <si>
    <t>100*3 Names</t>
  </si>
  <si>
    <t>24-0585R</t>
  </si>
  <si>
    <t>Fabric : Premium drifit</t>
  </si>
  <si>
    <t>24-0586R</t>
  </si>
  <si>
    <t xml:space="preserve">Wall Calendar 2025,Polo shirt , Premium Pens (Metal), Premium Pens (Plastic) , Notebook (Premium Customized) , </t>
  </si>
  <si>
    <t xml:space="preserve">1 main back sheet + 12 perforated months sheet,Fabric: Drifit cotton (Premium) ,Branding : 1 position logo,Size: A5,Size: A6 </t>
  </si>
  <si>
    <t>24-0587R</t>
  </si>
  <si>
    <t>Brochure - 7 fold JBS</t>
  </si>
  <si>
    <t xml:space="preserve">Open size: 90x21cm </t>
  </si>
  <si>
    <t>24-0372</t>
  </si>
  <si>
    <t>24-0588</t>
  </si>
  <si>
    <t>A5 Notepad (top glue) Taaleem</t>
  </si>
  <si>
    <t>Cover:350gsm art matt paper</t>
  </si>
  <si>
    <t>24-0589</t>
  </si>
  <si>
    <t>Self Standing Digital LCD screen, Info A - stand Metallic Double side frame</t>
  </si>
  <si>
    <t>Widows application, Touch screen, Size: 60x90cm</t>
  </si>
  <si>
    <t>24-0590</t>
  </si>
  <si>
    <t>BLT Promotions</t>
  </si>
  <si>
    <t>Paper Bag type box with window</t>
  </si>
  <si>
    <t>Size: 35 x 28 x 20 cm, Window size: 17.5x14cm</t>
  </si>
  <si>
    <t>24-0591</t>
  </si>
  <si>
    <t>A5 Envelope</t>
  </si>
  <si>
    <t>24-0413</t>
  </si>
  <si>
    <t>24-0592</t>
  </si>
  <si>
    <t xml:space="preserve">Desk Calendar 2025 - Passenger Calendars, Desk Calendar 2025 - Truck Calendars, Wall Calendar 2025 </t>
  </si>
  <si>
    <t>13 sheets, 1 main back sheet + 12 perforated months sheet</t>
  </si>
  <si>
    <t>24-0593</t>
  </si>
  <si>
    <t>Ingersoll-Rand Technical and Services S A R L (Dubai Branch)</t>
  </si>
  <si>
    <t>24-0594R2</t>
  </si>
  <si>
    <t>Desk calendar 2025, Additional Box</t>
  </si>
  <si>
    <t>Sheet Size : 17 x 23 cm</t>
  </si>
  <si>
    <t>24-0595</t>
  </si>
  <si>
    <t>Flags (GIS), Banner</t>
  </si>
  <si>
    <t>Size: 42cm X 59.5cm, Size: 260 x 150cm</t>
  </si>
  <si>
    <t>24-0596</t>
  </si>
  <si>
    <t>Instagram frames - DBSJ</t>
  </si>
  <si>
    <t>24-0597</t>
  </si>
  <si>
    <t>Cotton tote bag, Cork base Mug</t>
  </si>
  <si>
    <t xml:space="preserve">Size: 35x38x11 cm, Capacity : 11 oz </t>
  </si>
  <si>
    <t>24-0598R</t>
  </si>
  <si>
    <t>Sports bibs</t>
  </si>
  <si>
    <t>Color: Red</t>
  </si>
  <si>
    <t>24-0599</t>
  </si>
  <si>
    <t>Envelope (Horizontal)</t>
  </si>
  <si>
    <t>24-0600</t>
  </si>
  <si>
    <t>24-0601</t>
  </si>
  <si>
    <t>Maestro Pizza</t>
  </si>
  <si>
    <t>GAGAN</t>
  </si>
  <si>
    <t>24-0602</t>
  </si>
  <si>
    <t>Digital Business NFC Card - Black</t>
  </si>
  <si>
    <t>Size: 8.6 x 5.4 x 0.1 cm</t>
  </si>
  <si>
    <t>24-0603</t>
  </si>
  <si>
    <t>Founding family Sticker - DBSJ, Star stickers</t>
  </si>
  <si>
    <t>Size: 5cm</t>
  </si>
  <si>
    <t>24-0604</t>
  </si>
  <si>
    <t>Em-Normandie Business School</t>
  </si>
  <si>
    <t>Metal Pen, Round neck Tshirts, Ceramic mugs (2 tone) with box, Tote Bag, String bags, Brush Cotton Cap, Notebook PU Cover</t>
  </si>
  <si>
    <t>with stylus and matt finish, Colors: Red/ Blue, 11oz White mugs with red inner and handle, Recycled cotton, Material : Polyester, Colors: Red/Blue, Size: A5</t>
  </si>
  <si>
    <t>24-0605</t>
  </si>
  <si>
    <t>350+350 gsm art matt</t>
  </si>
  <si>
    <t>200 x 1 name</t>
  </si>
  <si>
    <t>24-0606</t>
  </si>
  <si>
    <t>Trifold Brochure</t>
  </si>
  <si>
    <t>Open Size: A4</t>
  </si>
  <si>
    <t>24-0607R3</t>
  </si>
  <si>
    <t>DUCON Industries</t>
  </si>
  <si>
    <t xml:space="preserve"> Colored Pencil box </t>
  </si>
  <si>
    <t>12 Color pencils as a set</t>
  </si>
  <si>
    <t>24-0608</t>
  </si>
  <si>
    <t xml:space="preserve">Rollup,Lanyard (customized) </t>
  </si>
  <si>
    <t xml:space="preserve">Size: 200x85cm, Size: 240x200cm, with printing as per artwork </t>
  </si>
  <si>
    <t>24-0609</t>
  </si>
  <si>
    <t>Gardner Denver FZE</t>
  </si>
  <si>
    <t>24-0610R</t>
  </si>
  <si>
    <t>UAE Flag - ESE – Dubai| Al Maktoum Primary School, UAE Flag</t>
  </si>
  <si>
    <t>Size: 60x40cm,Flag size: 1.8x1mtr</t>
  </si>
  <si>
    <t>24-0611</t>
  </si>
  <si>
    <t>Brochure - 4 fold - OE</t>
  </si>
  <si>
    <t>Open size : 75w x42h cms</t>
  </si>
  <si>
    <t>24-0612R</t>
  </si>
  <si>
    <t>Voxtel</t>
  </si>
  <si>
    <t xml:space="preserve"> 250 x 6 names</t>
  </si>
  <si>
    <t>24-0613</t>
  </si>
  <si>
    <t>Frankfinn Institute of Air Hostess Training FZ LLC</t>
  </si>
  <si>
    <t xml:space="preserve">Rollups ,Signage </t>
  </si>
  <si>
    <t>Size: 200x85cm , Size: 200x90cm</t>
  </si>
  <si>
    <t>24-0393 - VOID</t>
  </si>
  <si>
    <t>24-0614</t>
  </si>
  <si>
    <t>Right Fit Tailoring</t>
  </si>
  <si>
    <t>Curve Top Flags</t>
  </si>
  <si>
    <t xml:space="preserve">Flag size: 300x85cm </t>
  </si>
  <si>
    <t>24-0615</t>
  </si>
  <si>
    <t xml:space="preserve">A5 Booklet – DBSEH </t>
  </si>
  <si>
    <t xml:space="preserve">Total pages 16 </t>
  </si>
  <si>
    <t>24-0616R1</t>
  </si>
  <si>
    <t xml:space="preserve">Dubai School, Tent / Crayons setup </t>
  </si>
  <si>
    <t>Back to school frame for first day of school,  'Tent   </t>
  </si>
  <si>
    <t>24-0617</t>
  </si>
  <si>
    <t>Doctors Clinic</t>
  </si>
  <si>
    <t>Suit set (Jacket+Pants)</t>
  </si>
  <si>
    <t>Fabric: TR /Gabradine suiting premium</t>
  </si>
  <si>
    <t>24-0618R</t>
  </si>
  <si>
    <t>GDA</t>
  </si>
  <si>
    <t>Double wall vaccum insulated thermal mug - 500ml.</t>
  </si>
  <si>
    <t>Colors: Black/Silver</t>
  </si>
  <si>
    <t>24-0619</t>
  </si>
  <si>
    <t>Trinity College Dublin</t>
  </si>
  <si>
    <t>Size : 160*160 CM</t>
  </si>
  <si>
    <t>24-0401</t>
  </si>
  <si>
    <t>24-0620</t>
  </si>
  <si>
    <t xml:space="preserve">Gift tag with die cut </t>
  </si>
  <si>
    <t xml:space="preserve">Size: 9x5cm </t>
  </si>
  <si>
    <t>24-0621</t>
  </si>
  <si>
    <t>Roll Up banner</t>
  </si>
  <si>
    <t>24-0622</t>
  </si>
  <si>
    <t>Might house</t>
  </si>
  <si>
    <t xml:space="preserve"> 50 x 1 names</t>
  </si>
  <si>
    <t>24-0623</t>
  </si>
  <si>
    <t>R A I Technical Services L.L.C</t>
  </si>
  <si>
    <t>300 gsm art matt paper</t>
  </si>
  <si>
    <t>24-0624</t>
  </si>
  <si>
    <t>Motorised TV stand 42-65 " , TV</t>
  </si>
  <si>
    <t>Suitable for installing TVs below 65 inches</t>
  </si>
  <si>
    <t>24-0625</t>
  </si>
  <si>
    <t>Certificates – JBS</t>
  </si>
  <si>
    <t>24-0626R</t>
  </si>
  <si>
    <t>Lanyards (customized), ID card holders, Polo Shirt</t>
  </si>
  <si>
    <t>with printing, Colors available : Blue/Red/Grey/Pink/ Black, Fabric: As approved (Honeycomb)</t>
  </si>
  <si>
    <t>24-0627</t>
  </si>
  <si>
    <t>Scrub set</t>
  </si>
  <si>
    <t>Color : Pink</t>
  </si>
  <si>
    <t>24-0628R</t>
  </si>
  <si>
    <t>CHINT Middle East &amp; Africa DMCC</t>
  </si>
  <si>
    <t xml:space="preserve">Material: Drifit Cotton </t>
  </si>
  <si>
    <t>24-0629</t>
  </si>
  <si>
    <t xml:space="preserve">PVC sticker </t>
  </si>
  <si>
    <t>Size: 9x5.5cm</t>
  </si>
  <si>
    <t>24-0630</t>
  </si>
  <si>
    <t>Company Stamp</t>
  </si>
  <si>
    <t>24-0631</t>
  </si>
  <si>
    <t>Ghaf Seed Plantable Pencil in Single Pack Eco-Sleeve, Individual Seed Pencils, Pen(Slim -Metal) – Option 1, Pen(Plastic)  – Option 2, Podcast Backdrop Wall</t>
  </si>
  <si>
    <t xml:space="preserve">Material: 100% Recycled Newspaper , Seed: Basil, Mint and Tomato , Color: White , Color: Orange, Size: 3x2 - 2 walls 9 inch dept </t>
  </si>
  <si>
    <t>24-0632</t>
  </si>
  <si>
    <t xml:space="preserve"> 500 x 2 names</t>
  </si>
  <si>
    <t>24-0411</t>
  </si>
  <si>
    <t>24-0633</t>
  </si>
  <si>
    <t>MaxHealth</t>
  </si>
  <si>
    <t>24-0634R</t>
  </si>
  <si>
    <t>Ducon ODL Concept Brochure</t>
  </si>
  <si>
    <t>Landscape Closed Size: 30 x 21 cm</t>
  </si>
  <si>
    <t>24-0635</t>
  </si>
  <si>
    <t xml:space="preserve">Cover:350gsm art matt paper </t>
  </si>
  <si>
    <t>24-0636</t>
  </si>
  <si>
    <t>Faisal Al Nusif Trading Co. L.L.C</t>
  </si>
  <si>
    <t>Vaultex Safety Shoes, Freezer Shoes</t>
  </si>
  <si>
    <t>24-0637</t>
  </si>
  <si>
    <t>Catalogue tray :</t>
  </si>
  <si>
    <t>24-0638R2</t>
  </si>
  <si>
    <t>Al Jalila Foundation in support of Medical Education and Research</t>
  </si>
  <si>
    <t>Ahmad Big Adventure Book</t>
  </si>
  <si>
    <t>Size : 180mm width x 205mm height</t>
  </si>
  <si>
    <t>250 * 2 art work</t>
  </si>
  <si>
    <t>24-0639R</t>
  </si>
  <si>
    <t>International Training Institute</t>
  </si>
  <si>
    <t>Certificate holder</t>
  </si>
  <si>
    <t>24-0640</t>
  </si>
  <si>
    <t>24-0407</t>
  </si>
  <si>
    <t>24-0641</t>
  </si>
  <si>
    <t>Al-Kabeer Group ME</t>
  </si>
  <si>
    <t>Back to School Kit, Polo Shirt</t>
  </si>
  <si>
    <t>(A5 Notebook- Spiral, Tote Bag, Highlighter, Crayons (set of 12), Polo Shirt)</t>
  </si>
  <si>
    <t>24-0642R</t>
  </si>
  <si>
    <t>Brochure folder</t>
  </si>
  <si>
    <t>24-0428</t>
  </si>
  <si>
    <t>24-0643R</t>
  </si>
  <si>
    <t>Teddo Play</t>
  </si>
  <si>
    <t>Box Type A, Box Type B, Small Cards, Large cards</t>
  </si>
  <si>
    <t>4 Part Magnetic V Cut Case and Base, Size: 90x90mm, Size: 175x175mm</t>
  </si>
  <si>
    <t>24-0644</t>
  </si>
  <si>
    <t>Designing charges</t>
  </si>
  <si>
    <t>For catalogue, Creating designing Flyers/Greetings</t>
  </si>
  <si>
    <t>24-0414</t>
  </si>
  <si>
    <t>24-0645R</t>
  </si>
  <si>
    <t>50x3 names</t>
  </si>
  <si>
    <t>24-0646</t>
  </si>
  <si>
    <t>Lanyards, Table Cloth, Smart Mug Warmer with Wireless Charger - Black, 15W Wireless Deluxe Notebook with Phone Stand , Recycled 15W Wireless Charger Multi - Cable Set - Black, 10W MagSafe A5 Organizer - Beige, Flash Drive – 8GB/16GB (Metal), Mobile Holder, USB Hub With Sticky Note Pad, Umbrella</t>
  </si>
  <si>
    <t>Color: Black, ID Holder Size : 100 x 85 mm, Table cloth size : 147.5w x 277h cm, maintains your beverages at a constant 55C temperature, 15W wireless charging A5 notebook organizer, Size: 8.3 x 8.3 x 1.0 cm, MagSafe Smart Notebook Portfolio combines, Branding: 1 position printing/engraving, Size: 9.5 x 4.5 x 9.5 cm,Color: Black</t>
  </si>
  <si>
    <t>24-0647</t>
  </si>
  <si>
    <t>PVC sticker</t>
  </si>
  <si>
    <t>6x9 cm</t>
  </si>
  <si>
    <t>24-0648</t>
  </si>
  <si>
    <t>Amer Center</t>
  </si>
  <si>
    <t>350 GSM art Matt paper</t>
  </si>
  <si>
    <t>500 x 13 names</t>
  </si>
  <si>
    <t>24-0649</t>
  </si>
  <si>
    <t>EDUQUEST Consultancy Education</t>
  </si>
  <si>
    <t>Trifold brochure, Rollup Banner, Rollup Banner Desktop, Table cloth, Tote bags</t>
  </si>
  <si>
    <t>Size: Open size A4, Size: 200x85cm, Size: A3, Size: 150x280cm, Color: Natural</t>
  </si>
  <si>
    <t>24-0650</t>
  </si>
  <si>
    <t>Size: 13 x 12 x 13.5 cm</t>
  </si>
  <si>
    <t>24-0651</t>
  </si>
  <si>
    <t>Golden Way Electricals</t>
  </si>
  <si>
    <t>Size: 784(l)cmx165(h)cm</t>
  </si>
  <si>
    <t>24-0652</t>
  </si>
  <si>
    <t>Ms. Lavenia Emberson</t>
  </si>
  <si>
    <t>Flags</t>
  </si>
  <si>
    <t>Size: 120 x 180cm</t>
  </si>
  <si>
    <t>24-0653</t>
  </si>
  <si>
    <t>Transguard Group</t>
  </si>
  <si>
    <t>Log book</t>
  </si>
  <si>
    <t>Double sided B/W printing</t>
  </si>
  <si>
    <t>1000 x 2 artwork</t>
  </si>
  <si>
    <t>24-0654R</t>
  </si>
  <si>
    <t>Wurth Gulf</t>
  </si>
  <si>
    <t>Polo Shirt, Tote bag,Lunch Bag,Vinyl sticker mounted on 10mm foamboard(below window), Vinyl sticker mounted on 10mm foamboard (Wall panel)</t>
  </si>
  <si>
    <t>AARON</t>
  </si>
  <si>
    <t>24-0655</t>
  </si>
  <si>
    <t>Waterline Freight Solutions</t>
  </si>
  <si>
    <t>Fabric: Drifit Polyester</t>
  </si>
  <si>
    <t>24-0419</t>
  </si>
  <si>
    <t>24-0656</t>
  </si>
  <si>
    <t>Maintenance Brochure</t>
  </si>
  <si>
    <t>A4 Landscape</t>
  </si>
  <si>
    <t>24-0657R1</t>
  </si>
  <si>
    <t>Non Woven Bag, Lanyard (Customized)</t>
  </si>
  <si>
    <t>Size : Large ( 40 x 35 x 14 cm ), Size : Medium ( 35 x 41 x 9 cm ), Color : Orange, Grey and Maroon</t>
  </si>
  <si>
    <t>24-0658 R1</t>
  </si>
  <si>
    <t>Coverall</t>
  </si>
  <si>
    <t>24-0658R1 A</t>
  </si>
  <si>
    <t>iCADEMY Middle East</t>
  </si>
  <si>
    <t xml:space="preserve">Reception Wall Branding, Indoor Branding, Outdoor Branding, Flag Pole and base, Rollup Banner , Outdoor Signage (without light) </t>
  </si>
  <si>
    <t>Size: Signage 120x50cm /Wall size: W182cm x H243., Size: 120x90cm – Mission Vision statement Frame, Window sticker – H 11.5xW 20.5 Inches, Pole height : 4 m, Size : 200* 85 cm, Size: 700x95cm</t>
  </si>
  <si>
    <t>24-0659R2</t>
  </si>
  <si>
    <t>Size: 84x32cm</t>
  </si>
  <si>
    <t>24- 0447</t>
  </si>
  <si>
    <t>24-0660</t>
  </si>
  <si>
    <t>Size: 24.5cm x 9.5cm x 35 cm</t>
  </si>
  <si>
    <t>24-0661</t>
  </si>
  <si>
    <t>24-0662</t>
  </si>
  <si>
    <t>Medical Regulations Gate</t>
  </si>
  <si>
    <t>Door Branding</t>
  </si>
  <si>
    <t>Size: 100 x 208 cm</t>
  </si>
  <si>
    <t>24-0663</t>
  </si>
  <si>
    <t>Dealt Trading LLC</t>
  </si>
  <si>
    <t>Mobile Box, Pad Box, Laptop box</t>
  </si>
  <si>
    <t>Size: 20 x 10 x 7 cm, Size: 31x25.5x7cm, Size: 40.2x35x7.5 cm</t>
  </si>
  <si>
    <t>24-0664</t>
  </si>
  <si>
    <t>Job Card with pocket</t>
  </si>
  <si>
    <t>Size : 34x 24cm</t>
  </si>
  <si>
    <t>24-0665</t>
  </si>
  <si>
    <t>24-0667</t>
  </si>
  <si>
    <t>NARJIS Printing and Publishing</t>
  </si>
  <si>
    <t>Polo Shirt (Bowling)</t>
  </si>
  <si>
    <t>24-0668</t>
  </si>
  <si>
    <t>Skyformance Media FZ LLC</t>
  </si>
  <si>
    <t>Business cards, Letterhead , Rubber Stamp</t>
  </si>
  <si>
    <t>Paper : Special Paper, A4, 4/0 printing , Size: 5 cm</t>
  </si>
  <si>
    <t>24-0669</t>
  </si>
  <si>
    <t>Outdoor Signage – Al Maktoum School, Satwa, Indoor Signage (Classrooms- GF/FF), Back side only , Slide only, Acrylic Signage</t>
  </si>
  <si>
    <t>Size: 402cmx183cm, Material: 3mm Clear Acrylic name board , Ground Floor, Size: A2 (59.4 cm x 42 cm)</t>
  </si>
  <si>
    <t>24-0670</t>
  </si>
  <si>
    <t>24-0671</t>
  </si>
  <si>
    <t>Morganti GCC</t>
  </si>
  <si>
    <t>Frosted Stickers - Gym area GF Cleaning of existing glass, Frosted Stickers - Gym area GF Removal of existing stickers and Cleaning of existing glass</t>
  </si>
  <si>
    <t>24-0672</t>
  </si>
  <si>
    <t>Supply and installation of Reserve parking signage at Pixel towers</t>
  </si>
  <si>
    <t>Material: 2mm Anodized Aluminium sheet with</t>
  </si>
  <si>
    <t>24-0673</t>
  </si>
  <si>
    <t>Gym Rules Signage– 2 Nos.</t>
  </si>
  <si>
    <t>Size: W 70cm x H 90cm</t>
  </si>
  <si>
    <t>24-0674R1</t>
  </si>
  <si>
    <t>Decagon Scaffolding and Engineering LLC</t>
  </si>
  <si>
    <t>Polo T-shirtS</t>
  </si>
  <si>
    <t>24-0675</t>
  </si>
  <si>
    <t>100 gsm Conqueror paper</t>
  </si>
  <si>
    <t>200 x 1 artwork</t>
  </si>
  <si>
    <t>AED 287.50</t>
  </si>
  <si>
    <t>24-0676</t>
  </si>
  <si>
    <t>24-0677</t>
  </si>
  <si>
    <t>FGI Global Solutions</t>
  </si>
  <si>
    <t xml:space="preserve">Uniform Shirt (Jacket Long Sleeve), Uniforms (Polo Shirt), Uniform trousers (Cargo Trouser) </t>
  </si>
  <si>
    <t>Size: Standard</t>
  </si>
  <si>
    <t>24-0678</t>
  </si>
  <si>
    <t>Rukn Al Rabiee</t>
  </si>
  <si>
    <t>Scrub Suit</t>
  </si>
  <si>
    <t>Color : Blue (as per picture)</t>
  </si>
  <si>
    <t>24-0679</t>
  </si>
  <si>
    <t>Ms. Jade</t>
  </si>
  <si>
    <t>Round Neck Tshirt</t>
  </si>
  <si>
    <t>Color: Black</t>
  </si>
  <si>
    <t>24-0680</t>
  </si>
  <si>
    <t>Education Pathways Dubai, Two side tape at the back, Education Pathways Dubai(1)</t>
  </si>
  <si>
    <t>24-0681</t>
  </si>
  <si>
    <t>500 x 4 name</t>
  </si>
  <si>
    <t>24-0682</t>
  </si>
  <si>
    <t>Supply of Metal Display Rack</t>
  </si>
  <si>
    <t>Size: 600mm (width)x480mm (depth)x1560mm(Height)</t>
  </si>
  <si>
    <t>24-0683</t>
  </si>
  <si>
    <t>Aqar Landscape LLC</t>
  </si>
  <si>
    <t>Vehicle Branding-Toyota Hilux 1 tonn Pickup, Service charges</t>
  </si>
  <si>
    <t>Branding: Full</t>
  </si>
  <si>
    <t>24-0684R</t>
  </si>
  <si>
    <t>Paper bag</t>
  </si>
  <si>
    <t>Size: 23L x 18h x 8d cm</t>
  </si>
  <si>
    <t>24-0430</t>
  </si>
  <si>
    <t>24-0685</t>
  </si>
  <si>
    <t>Notebook - PU cover</t>
  </si>
  <si>
    <t>24-0686R</t>
  </si>
  <si>
    <t>Selfie Frame - JAS School</t>
  </si>
  <si>
    <t>24-0687R</t>
  </si>
  <si>
    <t>Aerocorp MRO DWC LLC</t>
  </si>
  <si>
    <t>Coverall Set (top and bottom), Formal Executive Shirt (long sleeve) , Trousers</t>
  </si>
  <si>
    <t>Fabric: Polycotton Twill, Fabric: Premium Oxford, Color: Black/Navy Blue</t>
  </si>
  <si>
    <t>24-0688</t>
  </si>
  <si>
    <t>Latin Textiles &amp; Trade DMCC</t>
  </si>
  <si>
    <t>Pocket folder</t>
  </si>
  <si>
    <t>24-0689</t>
  </si>
  <si>
    <t>Access cards (Client supplied)</t>
  </si>
  <si>
    <t>24-0690</t>
  </si>
  <si>
    <t>Sunteck</t>
  </si>
  <si>
    <t>Flags with Metal pole &amp; Concrete Base, Banner Branding on fences</t>
  </si>
  <si>
    <t>Flag Size : 300*85 CM, Size: 201 cm Height *211 cm width</t>
  </si>
  <si>
    <t>24-0691</t>
  </si>
  <si>
    <t>320 gsm paper</t>
  </si>
  <si>
    <t>24-0692</t>
  </si>
  <si>
    <t>Box with magnetic closure with Rope</t>
  </si>
  <si>
    <t>Approx Size: 25.5x35x9cm</t>
  </si>
  <si>
    <t>24-0693</t>
  </si>
  <si>
    <t>Tissue box holder</t>
  </si>
  <si>
    <t>Material : Black acrylic</t>
  </si>
  <si>
    <t>24-0694</t>
  </si>
  <si>
    <t>Entrance branding - (Senior side) DBSJ, Entrance branding (Junior side) DBSJ</t>
  </si>
  <si>
    <t>Size H 180*W 920, Size H 106*W 683</t>
  </si>
  <si>
    <t>24-0695R</t>
  </si>
  <si>
    <t>Terrain Catalog</t>
  </si>
  <si>
    <t>Size: A4 Landscape</t>
  </si>
  <si>
    <t>24-0696R</t>
  </si>
  <si>
    <t>Travel Kit</t>
  </si>
  <si>
    <t>World Travel Adapter with 2 USB charger,  USB Car charger , Universal charging cable</t>
  </si>
  <si>
    <t>24-0697R</t>
  </si>
  <si>
    <t>Continental Brochures</t>
  </si>
  <si>
    <t>24-0698</t>
  </si>
  <si>
    <t>Ms. Jay Honey</t>
  </si>
  <si>
    <t>Long Sleeve Shirt, Round Neck Shirt</t>
  </si>
  <si>
    <t>Fabric : 100% Cotton, Interlock</t>
  </si>
  <si>
    <t>24-0699</t>
  </si>
  <si>
    <t>Regal Lubricants and oil Ind LLC</t>
  </si>
  <si>
    <t>Sports Jersey</t>
  </si>
  <si>
    <t>24-0700</t>
  </si>
  <si>
    <t>Pall Corporation</t>
  </si>
  <si>
    <t>Insulated Water Bottle, Recycled Insulated Mug</t>
  </si>
  <si>
    <t>Color : Black / Grey</t>
  </si>
  <si>
    <t>24-0701R</t>
  </si>
  <si>
    <t>CACOGES</t>
  </si>
  <si>
    <t xml:space="preserve">Office Door Glass branding, Re-creating Logo CACOGES, Website Designing and Development </t>
  </si>
  <si>
    <t>Size H 101* W 89cm 1pcs, Up to 5 Pages in English</t>
  </si>
  <si>
    <t>24-0702</t>
  </si>
  <si>
    <t>Byyu</t>
  </si>
  <si>
    <t>Cake Box</t>
  </si>
  <si>
    <t>Size: 30x30x12</t>
  </si>
  <si>
    <t>24-0703</t>
  </si>
  <si>
    <t>Slap sticks, DBS Jumeirah, DBS JP</t>
  </si>
  <si>
    <t>Size: 21.5x.5cm</t>
  </si>
  <si>
    <t>24-0704</t>
  </si>
  <si>
    <t>SA Consultants</t>
  </si>
  <si>
    <t xml:space="preserve">Lanyards,  Notebook , Pen (Plastic), Ceramic Mug, Polo Shirt </t>
  </si>
  <si>
    <t>with printing on 1 side, white with 1 side uv printing center or bottom, Color: white,Fabric : Drifit Polyester</t>
  </si>
  <si>
    <t>24-0705</t>
  </si>
  <si>
    <t xml:space="preserve">Brochure - DBSJ </t>
  </si>
  <si>
    <t xml:space="preserve">Size: A4 to A5 </t>
  </si>
  <si>
    <t>24-0706</t>
  </si>
  <si>
    <t xml:space="preserve">Customized Pouch </t>
  </si>
  <si>
    <t xml:space="preserve">Size: 12(h)x20(w)x 10(d)cm </t>
  </si>
  <si>
    <t>24-0707</t>
  </si>
  <si>
    <t>Locke Lifestyle Properties</t>
  </si>
  <si>
    <t>Paper Cups (Double Wall), Paper Cups (Single Wall)</t>
  </si>
  <si>
    <t xml:space="preserve">Size: 12 oz, Size: 4 oz </t>
  </si>
  <si>
    <t>24-0708R1</t>
  </si>
  <si>
    <t xml:space="preserve">Paper Cups (Double Wall),Metal badge </t>
  </si>
  <si>
    <t>Size: 8 oz , Size: 2.5cm x 1.5cm</t>
  </si>
  <si>
    <t>24-0457,</t>
  </si>
  <si>
    <t>24-0709R</t>
  </si>
  <si>
    <t>Difit Lifestyle</t>
  </si>
  <si>
    <t>Crossover Vehicle</t>
  </si>
  <si>
    <t>24-0710</t>
  </si>
  <si>
    <t>Lunch bags (customized), RPET Cooler Bag</t>
  </si>
  <si>
    <t>Size: 24x20x18cm, Durable and stylish cooler made from recycled PET</t>
  </si>
  <si>
    <t>24-0711</t>
  </si>
  <si>
    <t>Point dance studios</t>
  </si>
  <si>
    <t>Ballet Dress, Shoes</t>
  </si>
  <si>
    <t>With 1 position logo embroidery</t>
  </si>
  <si>
    <t>24-0712</t>
  </si>
  <si>
    <t>24-0713</t>
  </si>
  <si>
    <t>Symbiosis International University Dubai</t>
  </si>
  <si>
    <t>Recycled Cotton Bag- White, Nonwoven Vertical Bag Full color- White, Plastic Pens - Option 1, Metal Pens - Option 2, Rollup, Trifold Flyer 1, Trifold Brochure 2, Flyer 3, Table Cloth</t>
  </si>
  <si>
    <t>Size: 42x38 cm, Size: 30x38x12 cm, Branding : 1 position printing, Size: 200x85cm, Size: 160x60cm, Open Size: 53.3*22.9 cm, Open size: 44.2*20 cm, Size: A4, Table cloth size : 147.5w x 277h cm</t>
  </si>
  <si>
    <t>24-0714</t>
  </si>
  <si>
    <t>New Way Logistics</t>
  </si>
  <si>
    <t>24-0715R</t>
  </si>
  <si>
    <t>Pergola Catalog</t>
  </si>
  <si>
    <t>24-0716</t>
  </si>
  <si>
    <t>The Luxury Real Estate</t>
  </si>
  <si>
    <t>Size: 9 x 5 cm</t>
  </si>
  <si>
    <t>100 x 60 names</t>
  </si>
  <si>
    <t>24-0717</t>
  </si>
  <si>
    <t>EMA Lubricants Company Limited</t>
  </si>
  <si>
    <t xml:space="preserve">Business Card, Letterheads, Window Envelope - Paper pouch, Receipt Book, Tanker Sticker, Self- Ink Stamp, Envelope, ELT transfer Sheet, Asset Transfer Sheet, Envelope - Paper pouch, Hose reel sticker, NCR with Terms &amp; Conditions, Binding Cover, Payment Voucher, EQM sticker , </t>
  </si>
  <si>
    <t>24-0718</t>
  </si>
  <si>
    <t>Cargo Pants (Customized)</t>
  </si>
  <si>
    <t>Fabric: Twill (Cotton)</t>
  </si>
  <si>
    <t>24-0719</t>
  </si>
  <si>
    <t>Adhesive Tape</t>
  </si>
  <si>
    <t>72mm x 100 yds x 24 roll per ctn</t>
  </si>
  <si>
    <t>10 cartons</t>
  </si>
  <si>
    <t>24-0720</t>
  </si>
  <si>
    <t>24-0721</t>
  </si>
  <si>
    <t>Blue Tangerine Marketing Management</t>
  </si>
  <si>
    <t xml:space="preserve">2D Designing charges - Exhibition stand, 3D Designing </t>
  </si>
  <si>
    <t>Size :Small</t>
  </si>
  <si>
    <t>24-0446</t>
  </si>
  <si>
    <t>24-0722</t>
  </si>
  <si>
    <t>Gift set</t>
  </si>
  <si>
    <t xml:space="preserve"> Water bottle, Insulated Mug - Black, Santhome Card - Digital Business NFC Card - Black, Message card</t>
  </si>
  <si>
    <t>24-0723</t>
  </si>
  <si>
    <t>ORIGA GENERAL CONTRACTING LLC</t>
  </si>
  <si>
    <t>Acrylic signage</t>
  </si>
  <si>
    <t>Size:30x60cm</t>
  </si>
  <si>
    <t>24-0724R</t>
  </si>
  <si>
    <t>Computer Stationery</t>
  </si>
  <si>
    <t>Size: 24.5 x 14 cm</t>
  </si>
  <si>
    <t>15 Boxes</t>
  </si>
  <si>
    <t>24-0725</t>
  </si>
  <si>
    <t>PVC Stickers</t>
  </si>
  <si>
    <t>Service Centre - Size 5x7cm, EMC - Size 7x6cm, EMC 15000 kms - Size 7x6cm, Ali &amp; Sons - Size 7x8cm, Size 7x6cm, Mobil Generic - Size 4x6cm, Motopro - Size 7x6cm, Al Saeedi Pro - Size 4x7cm, Munich Ge(Green Motors)- Size: 9x5.4cm, Al Saafi Cars Washing -Size:5x7cm, Emirates American (Dexol) - Size 5x7cm, Thrifty - Size 6x7cm,  OWS - Size 6x7cm, AAA - Size 6x8cm</t>
  </si>
  <si>
    <t>24-0726</t>
  </si>
  <si>
    <t>USBC Interior Company</t>
  </si>
  <si>
    <t>Paper : 330 Black Plike paper pasted</t>
  </si>
  <si>
    <t>500x4 Names</t>
  </si>
  <si>
    <t>24-0727</t>
  </si>
  <si>
    <t>UK College of Business and Computing</t>
  </si>
  <si>
    <t>Designing cost, Production cost</t>
  </si>
  <si>
    <t>Prospectus</t>
  </si>
  <si>
    <t>24-0728</t>
  </si>
  <si>
    <t>IDP EDUCATION L.L.</t>
  </si>
  <si>
    <t>400x 17 Names</t>
  </si>
  <si>
    <t>24-0729</t>
  </si>
  <si>
    <t>United Architect</t>
  </si>
  <si>
    <t>Invitation card envelope</t>
  </si>
  <si>
    <t>24-0730</t>
  </si>
  <si>
    <t>Al Nakheel Hygienic Paper Manufacturing LLC</t>
  </si>
  <si>
    <t>Fabric : 50% Polyester, 50% Cotton</t>
  </si>
  <si>
    <t>24-0731</t>
  </si>
  <si>
    <t>RISTEL IT Company</t>
  </si>
  <si>
    <t>Coverall set (Top &amp; Bottom)</t>
  </si>
  <si>
    <t>Material: 200gsm Poly Cotton Twill</t>
  </si>
  <si>
    <t>24-0732</t>
  </si>
  <si>
    <t>Al Kabeer Group ME</t>
  </si>
  <si>
    <t>Paper Bag, Paper Sticker , Coloring Book, Fridge Magnet , Discount coupon, Apron (Kid), Apron (Adult), Chef Cap (Kid/Adult)</t>
  </si>
  <si>
    <t xml:space="preserve">Size: A4, Size : A4 (many stickers in 1 A4 sheet) , Size: A5 with 8 pages, Size: 10x10cm, Size: 10x5cm , Fabric: Twill Polycotton 200gsm, </t>
  </si>
  <si>
    <t>24-0733</t>
  </si>
  <si>
    <t>Arco Interiors LLC</t>
  </si>
  <si>
    <t>Productivity Gift Set - Option 1, Sustainable Stationery Gift Set - Option 2</t>
  </si>
  <si>
    <t>Large Black Gift Box (Box Size: 35.5 x 28 x 10.5cms), Medium Black Gift Box (Box Size: 28 x 22 x 6.3cms)</t>
  </si>
  <si>
    <t>24-0734</t>
  </si>
  <si>
    <t>Frame with Tshirt /2 Photos/ Signature</t>
  </si>
  <si>
    <t>Frame with mounting(as per reference picture given)</t>
  </si>
  <si>
    <t>24-0735</t>
  </si>
  <si>
    <t>ENotion Event Management</t>
  </si>
  <si>
    <t>Gitex Give aways</t>
  </si>
  <si>
    <t>Sustainable bag + Gift</t>
  </si>
  <si>
    <t>24-0736</t>
  </si>
  <si>
    <t>Manual, Magazine - 40 + 4 - Issue 1</t>
  </si>
  <si>
    <t xml:space="preserve">size : W 10 x H 16 cm, Size : A4 (21 x 29.7 cm) </t>
  </si>
  <si>
    <t>24-0737</t>
  </si>
  <si>
    <t>Career Tree HR Solutions FZE</t>
  </si>
  <si>
    <t>400gsm art matt paper with matt lamination</t>
  </si>
  <si>
    <t>200x1 Name</t>
  </si>
  <si>
    <t>24-0738</t>
  </si>
  <si>
    <t>Mascot Bookmark</t>
  </si>
  <si>
    <t>Size: 7.5x8cm</t>
  </si>
  <si>
    <t>24-0739</t>
  </si>
  <si>
    <t>Thermal Lunch Bag - (Customized)</t>
  </si>
  <si>
    <t>Size: L21cmxW13cmx H27cm</t>
  </si>
  <si>
    <t>24-0740</t>
  </si>
  <si>
    <t>Curtin University in Dubai</t>
  </si>
  <si>
    <t>World Map</t>
  </si>
  <si>
    <t>Acryllic Cutout + Vinyl Sticker</t>
  </si>
  <si>
    <t>24-0741</t>
  </si>
  <si>
    <t>Graduation Gown, Sash and Cap</t>
  </si>
  <si>
    <t>24-0742</t>
  </si>
  <si>
    <t xml:space="preserve"> Aluminium Plate </t>
  </si>
  <si>
    <t>Size: 31x18cm</t>
  </si>
  <si>
    <t>24-0743R</t>
  </si>
  <si>
    <t>AMIS properties</t>
  </si>
  <si>
    <t>Business Card,  Desk sign holder with printing</t>
  </si>
  <si>
    <t>Size: 9 x 5.5 cm, Size : 25.5 x 5.5 cm</t>
  </si>
  <si>
    <t>24-0744</t>
  </si>
  <si>
    <t>Esco Lifesciences Trading LLC</t>
  </si>
  <si>
    <t>Wireless Charger and Power Bank, Wireless Charger Stand, Canvas Bag ,  Syringe Pen , Organizer Notebook,  Drawstring bag , Water bottle:</t>
  </si>
  <si>
    <t>10,000mAh, 10W dual coil wireless charger and, Size: (height) 42 x (width) 36cm, Retractable Fun Multi Color Pens, Size: 25.5*19.5*3cm, Size: 34x42 cm, Size : 95x95x300 mm</t>
  </si>
  <si>
    <t>24-0745</t>
  </si>
  <si>
    <t>24-0746</t>
  </si>
  <si>
    <t>Bunting Flags (Raha School)</t>
  </si>
  <si>
    <t>2 string of 20m</t>
  </si>
  <si>
    <t>40 mtr</t>
  </si>
  <si>
    <t>24-0747R1</t>
  </si>
  <si>
    <t>OP3 GLOBAL</t>
  </si>
  <si>
    <t>Swivel USB 32GB, Travel Mug, Pen and Pencil set</t>
  </si>
  <si>
    <t>24-0748</t>
  </si>
  <si>
    <t>Vest Jacket</t>
  </si>
  <si>
    <t>Material: Poly cotton Twill with hole mesh</t>
  </si>
  <si>
    <t>24-0749R</t>
  </si>
  <si>
    <t>Material : Drifit Cotton</t>
  </si>
  <si>
    <t>24-0750R</t>
  </si>
  <si>
    <t>Size : 30 cm (h) x 40 cm (w) x 15 cm (d)</t>
  </si>
  <si>
    <t>24-0751</t>
  </si>
  <si>
    <t>Aladdin Container Company L.L.C</t>
  </si>
  <si>
    <t>Horizontal Sticker, DNVU Stickers, Tag Line Stickers, Weight Stickers</t>
  </si>
  <si>
    <t>24-0752</t>
  </si>
  <si>
    <t>Roundneck Tshirts, Hoodie, Caps</t>
  </si>
  <si>
    <t>Fabric: Polyester jersey material, Color: Black, Color: White</t>
  </si>
  <si>
    <t>24-0753</t>
  </si>
  <si>
    <t>Right Fit TailorinG</t>
  </si>
  <si>
    <t>Name badge - different name</t>
  </si>
  <si>
    <t>Size: 1x3 inch</t>
  </si>
  <si>
    <t>24-0754</t>
  </si>
  <si>
    <t>E V OFFSHORE LIMITED (DUBAI BRANCH)</t>
  </si>
  <si>
    <t xml:space="preserve">Spiral Notebook (Left side), A4 Pocket Folder,  Silver Metal Pen </t>
  </si>
  <si>
    <t>Size: A5, 350 gsm art paper, Branding : 1 position logo printing</t>
  </si>
  <si>
    <t>24-0755</t>
  </si>
  <si>
    <t>24-0756R1</t>
  </si>
  <si>
    <t>Size: A4, Size: DL</t>
  </si>
  <si>
    <t>24-0757</t>
  </si>
  <si>
    <t>GITEX Stand</t>
  </si>
  <si>
    <t>24-0758</t>
  </si>
  <si>
    <t>RU/Poster/Cert/Daiy AUH</t>
  </si>
  <si>
    <t>24-0759</t>
  </si>
  <si>
    <t>Hoodies with zipper</t>
  </si>
  <si>
    <t>24-0760</t>
  </si>
  <si>
    <t>Hotel Ibis Styles &amp; Grand Mercure</t>
  </si>
  <si>
    <t>Glass frosted sticker branding</t>
  </si>
  <si>
    <t>24-0761R</t>
  </si>
  <si>
    <t>Washroom Signboards</t>
  </si>
  <si>
    <t>24-0762R</t>
  </si>
  <si>
    <t>Lanyards</t>
  </si>
  <si>
    <t>24-0763R</t>
  </si>
  <si>
    <t>Concept Video Boards</t>
  </si>
  <si>
    <t>24-0764</t>
  </si>
  <si>
    <t>BC</t>
  </si>
  <si>
    <t>24-0765</t>
  </si>
  <si>
    <t>Cards</t>
  </si>
  <si>
    <t>24-0766</t>
  </si>
  <si>
    <t>Name Holder</t>
  </si>
  <si>
    <t>24-0767R</t>
  </si>
  <si>
    <t>Mugs</t>
  </si>
  <si>
    <t>24-0768</t>
  </si>
  <si>
    <t>NAFFCO</t>
  </si>
  <si>
    <t>Coveralls</t>
  </si>
  <si>
    <t>24-0769</t>
  </si>
  <si>
    <t>Charter School</t>
  </si>
  <si>
    <t>24-0770</t>
  </si>
  <si>
    <t>Jill items</t>
  </si>
  <si>
    <t>24-0771</t>
  </si>
  <si>
    <t>Quotation</t>
  </si>
  <si>
    <t>24-0772</t>
  </si>
  <si>
    <t>UKCBC</t>
  </si>
  <si>
    <t>24-0773</t>
  </si>
  <si>
    <t>24-0774R1</t>
  </si>
  <si>
    <t>Mayer brown</t>
  </si>
  <si>
    <t>Non Woven Bags</t>
  </si>
  <si>
    <t>24-0775</t>
  </si>
  <si>
    <t>24-0776</t>
  </si>
  <si>
    <t>DAT Engineering Consultancy</t>
  </si>
  <si>
    <t>LED Cube and Pop up Banner</t>
  </si>
  <si>
    <t>24-0777</t>
  </si>
  <si>
    <t>VICI Energy</t>
  </si>
  <si>
    <t>Printing on clinet bottles</t>
  </si>
  <si>
    <t>24-0778</t>
  </si>
  <si>
    <t>Certificates in frame</t>
  </si>
  <si>
    <t>24-0779R</t>
  </si>
  <si>
    <t>24-0780</t>
  </si>
  <si>
    <t>24-0781</t>
  </si>
  <si>
    <t>24-0782</t>
  </si>
  <si>
    <t>Alpargatauris</t>
  </si>
  <si>
    <t>24-0783</t>
  </si>
  <si>
    <t>24-0784</t>
  </si>
  <si>
    <t>Sthree</t>
  </si>
  <si>
    <t>Medals</t>
  </si>
  <si>
    <t>24-0785</t>
  </si>
  <si>
    <t>LH/Folder/Envelope</t>
  </si>
  <si>
    <t>24-0786</t>
  </si>
  <si>
    <t>ID Card priting</t>
  </si>
  <si>
    <t>24-0787</t>
  </si>
  <si>
    <t>OOCL UAE</t>
  </si>
  <si>
    <t xml:space="preserve">A3 Envelope </t>
  </si>
  <si>
    <t>24-0788</t>
  </si>
  <si>
    <t>Ahmeds Adventur Reprint</t>
  </si>
  <si>
    <t>24-0789</t>
  </si>
  <si>
    <t>Name Board</t>
  </si>
  <si>
    <t>24-0790</t>
  </si>
  <si>
    <t>Stellar Advertising</t>
  </si>
  <si>
    <t>Back to Shool GIS</t>
  </si>
  <si>
    <t>24-0791</t>
  </si>
  <si>
    <t>Brochure CORWIN</t>
  </si>
  <si>
    <t>24-0792</t>
  </si>
  <si>
    <t>A4 Pocket Folder UIS</t>
  </si>
  <si>
    <t>PRODUCTION</t>
  </si>
  <si>
    <t>24-0793</t>
  </si>
  <si>
    <t>Fountin Catalog</t>
  </si>
  <si>
    <t>24-0794</t>
  </si>
  <si>
    <t>Back to School Khawaneej</t>
  </si>
  <si>
    <t>24-0795</t>
  </si>
  <si>
    <t>Byyuu</t>
  </si>
  <si>
    <t>Items</t>
  </si>
  <si>
    <t>24-0796</t>
  </si>
  <si>
    <t>Masters Union TETR</t>
  </si>
  <si>
    <t>Welcome Event</t>
  </si>
  <si>
    <t>24-0797</t>
  </si>
  <si>
    <t>Golden Tower Technologies</t>
  </si>
  <si>
    <t>24-0798</t>
  </si>
  <si>
    <t>Stellar advertising</t>
  </si>
  <si>
    <t>Hourani Note Books/Note pads</t>
  </si>
  <si>
    <t>24-0799</t>
  </si>
  <si>
    <t>Hourani Brochure</t>
  </si>
  <si>
    <t>24-0800R</t>
  </si>
  <si>
    <t>BusyBee Creations</t>
  </si>
  <si>
    <t>24-0801</t>
  </si>
  <si>
    <t>Container Branding</t>
  </si>
  <si>
    <t>24-0802</t>
  </si>
  <si>
    <t>Caps 15</t>
  </si>
  <si>
    <t>24-0803</t>
  </si>
  <si>
    <t>Lane Community College</t>
  </si>
  <si>
    <t>24-0804</t>
  </si>
  <si>
    <t>Evas Constantin</t>
  </si>
  <si>
    <t>Polo/Double Wall Bottle</t>
  </si>
  <si>
    <t>24-0805</t>
  </si>
  <si>
    <t>Water Proof Jacket</t>
  </si>
  <si>
    <t>24-0806</t>
  </si>
  <si>
    <t xml:space="preserve">IDP Eduction </t>
  </si>
  <si>
    <t>Roadshow Ruby</t>
  </si>
  <si>
    <t>24-0807</t>
  </si>
  <si>
    <t>Dubai School Barsh A3 Prints</t>
  </si>
  <si>
    <t>24-0808</t>
  </si>
  <si>
    <t>PoloShirts Customised</t>
  </si>
  <si>
    <t>24-0809</t>
  </si>
  <si>
    <t>Website Modification</t>
  </si>
  <si>
    <t>24-0810</t>
  </si>
  <si>
    <t>DBSJ ticker</t>
  </si>
  <si>
    <t>24-0811</t>
  </si>
  <si>
    <t>MEAD Medicl</t>
  </si>
  <si>
    <t>24-0812</t>
  </si>
  <si>
    <t>Event Items</t>
  </si>
  <si>
    <t>24-0813</t>
  </si>
  <si>
    <t>24-0814</t>
  </si>
  <si>
    <t>CAFU</t>
  </si>
  <si>
    <t>24-0815</t>
  </si>
  <si>
    <t>Realty Force</t>
  </si>
  <si>
    <t xml:space="preserve">Badge </t>
  </si>
  <si>
    <t>24-0816</t>
  </si>
  <si>
    <t>Back pack</t>
  </si>
  <si>
    <t>24-0817</t>
  </si>
  <si>
    <t>24-0818</t>
  </si>
  <si>
    <t>Year Book JAS</t>
  </si>
  <si>
    <t>24-0819</t>
  </si>
  <si>
    <t>ID Card holders</t>
  </si>
  <si>
    <t>24-0820</t>
  </si>
  <si>
    <t>Event Lab</t>
  </si>
  <si>
    <t>Polo Shirts/Pin Badges</t>
  </si>
  <si>
    <t>24-0821</t>
  </si>
  <si>
    <t>24-0822</t>
  </si>
  <si>
    <t>24-0823</t>
  </si>
  <si>
    <t>Power Solution Industries</t>
  </si>
  <si>
    <t>A4 and DL Envelope</t>
  </si>
  <si>
    <t>Booth Branding</t>
  </si>
  <si>
    <t>Bikeera</t>
  </si>
  <si>
    <t>24-0824</t>
  </si>
  <si>
    <t>Bags</t>
  </si>
  <si>
    <t>24-0825</t>
  </si>
  <si>
    <t>Deakin University</t>
  </si>
  <si>
    <t>24-0826</t>
  </si>
  <si>
    <t>TUS</t>
  </si>
  <si>
    <t>Brochure etc</t>
  </si>
  <si>
    <t>24-0827</t>
  </si>
  <si>
    <t>Aurantius RE</t>
  </si>
  <si>
    <t>24-0828</t>
  </si>
  <si>
    <t>Dubai School Barsha- Gazzebo</t>
  </si>
  <si>
    <t>24-0829</t>
  </si>
  <si>
    <t>Raha School - Pop Up Banner</t>
  </si>
  <si>
    <t>24-0830</t>
  </si>
  <si>
    <t>Taaleem A5 Notepad</t>
  </si>
  <si>
    <t>24-0831</t>
  </si>
  <si>
    <t>Dubai School Khawaneej Dates</t>
  </si>
  <si>
    <t>24-0832</t>
  </si>
  <si>
    <t>A5 Magnet</t>
  </si>
  <si>
    <t>24-0833</t>
  </si>
  <si>
    <t>At your Service</t>
  </si>
  <si>
    <t>24-0834</t>
  </si>
  <si>
    <t>GIS School - Envelope /LH</t>
  </si>
  <si>
    <t>24-0835</t>
  </si>
  <si>
    <t>Fintech Hive Lanyards/ID /</t>
  </si>
  <si>
    <t>24-0836</t>
  </si>
  <si>
    <t>24-0837</t>
  </si>
  <si>
    <t>Pen/A4 Folder</t>
  </si>
  <si>
    <t>24-0838</t>
  </si>
  <si>
    <t>Canadian Specialist Hospital</t>
  </si>
  <si>
    <t>Aboard/Portable Stand</t>
  </si>
  <si>
    <t>24-0839</t>
  </si>
  <si>
    <t>Car Sunshade</t>
  </si>
  <si>
    <t>24-0840</t>
  </si>
  <si>
    <t>Desk Calendar 2025 CST</t>
  </si>
  <si>
    <t>24-0841</t>
  </si>
  <si>
    <t>Dubai School Barsha - Lab coats</t>
  </si>
  <si>
    <t>24-0842</t>
  </si>
  <si>
    <t>Desk Calendrs 2025- Truck</t>
  </si>
  <si>
    <t>24-0843R</t>
  </si>
  <si>
    <t>24-0844</t>
  </si>
  <si>
    <t>24-0845</t>
  </si>
  <si>
    <t>Symbiosis University</t>
  </si>
  <si>
    <t xml:space="preserve">ID Card </t>
  </si>
  <si>
    <t>24-0846</t>
  </si>
  <si>
    <t xml:space="preserve">IDP Education </t>
  </si>
  <si>
    <t>EDU _Daisy</t>
  </si>
  <si>
    <t>EDU Brand &amp; Bin Khaldoon Institute-Roll up, A3 Posters and Certificates</t>
  </si>
  <si>
    <t>24-0847</t>
  </si>
  <si>
    <t>Flinders University</t>
  </si>
  <si>
    <t>Rollup</t>
  </si>
  <si>
    <t>24-0848</t>
  </si>
  <si>
    <t>Business Cards IMAD</t>
  </si>
  <si>
    <t>24-0849</t>
  </si>
  <si>
    <t>Dubai School Barsha Hanging ICONS</t>
  </si>
  <si>
    <t>24-0850</t>
  </si>
  <si>
    <t>Acces Cards</t>
  </si>
  <si>
    <t>24-0851</t>
  </si>
  <si>
    <t>Mr Yasin</t>
  </si>
  <si>
    <t>24-0852</t>
  </si>
  <si>
    <t>BC Amamda</t>
  </si>
  <si>
    <t>24-0853</t>
  </si>
  <si>
    <t>IDP Education</t>
  </si>
  <si>
    <t xml:space="preserve">RU/Table cloth </t>
  </si>
  <si>
    <t>24-0854</t>
  </si>
  <si>
    <t>BC _ Salah</t>
  </si>
  <si>
    <t>24-0855</t>
  </si>
  <si>
    <t>Woblers</t>
  </si>
  <si>
    <t>24-0856</t>
  </si>
  <si>
    <t>Note Books</t>
  </si>
  <si>
    <t>24-0857</t>
  </si>
  <si>
    <t>Sfety Vests</t>
  </si>
  <si>
    <t>24-0858</t>
  </si>
  <si>
    <t>Le Chocolatier</t>
  </si>
  <si>
    <t>Boxes</t>
  </si>
  <si>
    <t>24-0859</t>
  </si>
  <si>
    <t>Ceramic mug</t>
  </si>
  <si>
    <t>24-0860</t>
  </si>
  <si>
    <t>Rollup Banner,A3 Desktop Rollup/X Banner and A4 Flyer (ICN)</t>
  </si>
  <si>
    <t>24-0861</t>
  </si>
  <si>
    <t>24-0862</t>
  </si>
  <si>
    <t>A4 Flyer</t>
  </si>
  <si>
    <t>24-0863</t>
  </si>
  <si>
    <t>VL MEA Marketing Management LTD</t>
  </si>
  <si>
    <t>Lanyard, A5 Notebook - Veralto and A5 Notebook - HACH</t>
  </si>
  <si>
    <t>24-0864</t>
  </si>
  <si>
    <t>24-0865</t>
  </si>
  <si>
    <t>First Tech</t>
  </si>
  <si>
    <t>Pens (Plastic), Pens (Metal) and Tote Bag</t>
  </si>
  <si>
    <t>24-0866R</t>
  </si>
  <si>
    <t>24-0867</t>
  </si>
  <si>
    <t xml:space="preserve"> Metal badge - White and Tote bag - Cotton canvas bag</t>
  </si>
  <si>
    <t>24-0868</t>
  </si>
  <si>
    <t>Warehouse Delivery Note</t>
  </si>
  <si>
    <t>24-0869</t>
  </si>
  <si>
    <t>Dubai Marthoma Church</t>
  </si>
  <si>
    <t xml:space="preserve">Wristbands,Prayer Journal, Pillow covers, Laptop stickers,Keychains and Mobile grips </t>
  </si>
  <si>
    <t>24-0870</t>
  </si>
  <si>
    <t>Non woven Bag (Vertical)</t>
  </si>
  <si>
    <t>24-0871</t>
  </si>
  <si>
    <t>IBM Global</t>
  </si>
  <si>
    <t>24-0872</t>
  </si>
  <si>
    <t>24-0873</t>
  </si>
  <si>
    <t>Flyer, MBA trifold Flyer, Stickers, Metal Pens, Student course guide and Tote Bag</t>
  </si>
  <si>
    <t>24-0874</t>
  </si>
  <si>
    <t xml:space="preserve">Flyer, MBA trifold Flyer, Stickers and Student course guide </t>
  </si>
  <si>
    <t>24-0875</t>
  </si>
  <si>
    <t>A6 Greeting card- DBSJ</t>
  </si>
  <si>
    <t>24-0876</t>
  </si>
  <si>
    <t>Trifold flyer</t>
  </si>
  <si>
    <t>24-0877</t>
  </si>
  <si>
    <t>Black Metal Pen &amp; Blue Metal Pen</t>
  </si>
  <si>
    <t>24-0878</t>
  </si>
  <si>
    <t>Polo shirts (kids)</t>
  </si>
  <si>
    <t>24-0879R2</t>
  </si>
  <si>
    <t>Ingersoll Rand Industrial Technologies</t>
  </si>
  <si>
    <t>A4 Flyers</t>
  </si>
  <si>
    <t>24-0880</t>
  </si>
  <si>
    <t>FORMO - The Formwork Specialist</t>
  </si>
  <si>
    <t>Safety Vest</t>
  </si>
  <si>
    <t>24-0881</t>
  </si>
  <si>
    <t xml:space="preserve">Table Cloth, Rollup Banner &amp; X banner </t>
  </si>
  <si>
    <t>24-0882</t>
  </si>
  <si>
    <t>Tshirts - Raha International School</t>
  </si>
  <si>
    <t>24-0883</t>
  </si>
  <si>
    <t>Eco-neutral A5 Cork Fabric Hard Cover Notebook and Pen Set, Bookmark &amp; Desk Calendar 2025</t>
  </si>
  <si>
    <t>24-0884</t>
  </si>
  <si>
    <t>Campus branding: Phase 1</t>
  </si>
  <si>
    <t>24-0885</t>
  </si>
  <si>
    <t>24-0886</t>
  </si>
  <si>
    <t>A4 Flyer - HRM</t>
  </si>
  <si>
    <t>24-0887</t>
  </si>
  <si>
    <t>TAM TRADING FZ-LLC</t>
  </si>
  <si>
    <t>Brochure ( Offset Printing )</t>
  </si>
  <si>
    <t>24-0888</t>
  </si>
  <si>
    <t>24-0889</t>
  </si>
  <si>
    <t>Polo shirt</t>
  </si>
  <si>
    <t>24-0890</t>
  </si>
  <si>
    <t xml:space="preserve">Pens (Metal) &amp; Pens (Plastic) </t>
  </si>
  <si>
    <t>24-0891R</t>
  </si>
  <si>
    <t>Volunteer's vest (customized)</t>
  </si>
  <si>
    <t>24-0892</t>
  </si>
  <si>
    <t>Post Card</t>
  </si>
  <si>
    <t>24-0893</t>
  </si>
  <si>
    <t>Business Cards - Abu Dhabi</t>
  </si>
  <si>
    <t>24-0894</t>
  </si>
  <si>
    <t>Flag Pole and base</t>
  </si>
  <si>
    <t>24-0895</t>
  </si>
  <si>
    <t>Luggage Tags - PVC &amp; Car Sunshade</t>
  </si>
  <si>
    <t>24-0896</t>
  </si>
  <si>
    <t>A4 Flyer - Shelby's stock</t>
  </si>
  <si>
    <t>24-0897</t>
  </si>
  <si>
    <t xml:space="preserve">Rollup Banner </t>
  </si>
  <si>
    <t>24-0898</t>
  </si>
  <si>
    <t>24-0899</t>
  </si>
  <si>
    <t>24-0900</t>
  </si>
  <si>
    <t>Masters' Union (TETR)</t>
  </si>
  <si>
    <t>Booth branding</t>
  </si>
  <si>
    <t>24-0901</t>
  </si>
  <si>
    <t>Kraft paper bag</t>
  </si>
  <si>
    <t>24-0902R</t>
  </si>
  <si>
    <t>Global Business Studies (GBS Dubai)</t>
  </si>
  <si>
    <t>Fridge Magnets &amp; Mobile Pop socket</t>
  </si>
  <si>
    <t>24-0903</t>
  </si>
  <si>
    <t>Wall Calendar</t>
  </si>
  <si>
    <t>24-0904R1</t>
  </si>
  <si>
    <t>Tshirt (round neck)</t>
  </si>
  <si>
    <t>24-0905</t>
  </si>
  <si>
    <t>RCS Recycled Stainless Steel Insulated Water Bottles, Recycled Stainless Steel Vacuum Bottles with Loops, Borosilicate Glass Bottles with Neo Sleeves - Green &amp; Eco-neutral Wheat Straw Glass Bottle</t>
  </si>
  <si>
    <t>24-0906</t>
  </si>
  <si>
    <t>4S Global Group</t>
  </si>
  <si>
    <t>2-in-1 Messenger &amp; Tote Bag, Recycled Stainless Steel Vacuum Bottle with Loop - Nav, 15W Car Mobile Mount Wireless Charger, Bamboo Mobile Holder &amp; Stand &amp; Laptop Backpack 21L - Blue</t>
  </si>
  <si>
    <t>24-0907</t>
  </si>
  <si>
    <t>RTW Shipping</t>
  </si>
  <si>
    <t>Set of 2 Expresso Cups with Bamboo Coaster, Recycled 15W Wireless Charger Cable Set, 5 in-1 Multi-Function Tooling Pen, 10000mAh Suction Power Bank With Light-Up Logo, 2 in 1 Wireless Charger with Multi Cable Set - White, SKROSS World Travel Adapter MUV USB (AC), Digital Luggage Scale, 10W Wireless Charger PU Mouse Pad - Black, Smart Mug Warmer with Wireless Charger &amp; Men's Golf Polo with UV Protection</t>
  </si>
  <si>
    <t>24-0908</t>
  </si>
  <si>
    <t>Al Rashed United DMCC</t>
  </si>
  <si>
    <t>Flyer - 2 fold</t>
  </si>
  <si>
    <t>24-0909</t>
  </si>
  <si>
    <t xml:space="preserve">Brochure 1 (Urethanes Stobicast Thermal), Brochure 2 (Pure Solutions) &amp; Brochure 3 (Stobicast) </t>
  </si>
  <si>
    <t>24-0910</t>
  </si>
  <si>
    <t>Poster with Frame</t>
  </si>
  <si>
    <t>24-0911</t>
  </si>
  <si>
    <t>24-0912</t>
  </si>
  <si>
    <t xml:space="preserve">Desktop Rollup, A4 flyer &amp; Name Badges </t>
  </si>
  <si>
    <t>24-0913</t>
  </si>
  <si>
    <t>24-0914</t>
  </si>
  <si>
    <t>Round Neck Tshirt, Balloons (Helium) &amp; Bunting Flags</t>
  </si>
  <si>
    <t>24-0915</t>
  </si>
  <si>
    <t>Sticker (PVC)</t>
  </si>
  <si>
    <t>24-0916</t>
  </si>
  <si>
    <t>Rollup Banner - Corwin &amp; Table cloth</t>
  </si>
  <si>
    <t>24-0917</t>
  </si>
  <si>
    <t>Polo Shirts (Customized) &amp; Reel Badges</t>
  </si>
  <si>
    <t>24-0918</t>
  </si>
  <si>
    <t>Connect Resources</t>
  </si>
  <si>
    <t>Polo Shirt (Short Sleeve)</t>
  </si>
  <si>
    <t>24-0919A</t>
  </si>
  <si>
    <t>24-0919</t>
  </si>
  <si>
    <t>Queen’s University</t>
  </si>
  <si>
    <t>Brochure - Queen's University International ViewBook 2025, Brochure - 4 fold, Post cards</t>
  </si>
  <si>
    <t>24-0920R1</t>
  </si>
  <si>
    <t>24-0921R1</t>
  </si>
  <si>
    <t>UCAS Flyers, SES Flyers</t>
  </si>
  <si>
    <t>24-0922</t>
  </si>
  <si>
    <t>24-0923</t>
  </si>
  <si>
    <t>IDP Education LLC (Dubai)</t>
  </si>
  <si>
    <t xml:space="preserve">Table Tents - Fast Lane (Universities), Table Tents - Destination (UK/IRL/US/CA/AU/NZ), Table Tents - SES (English &amp; Arabic), Flyer (SES English), AU Destination Map and Document Checklist, UK/IR Destination Map and Document Checklist, CA Destination Map and Document Checklist, NZ Destination Map and Document Checklist, USA Destination Map and Document Checklist, Acrylic Stand A4, Floorplan- UK/IR/AU/NZ/US/CA, Test Date cards, UCAS Fliers, Tokens (University), Tent Cards (Notice), FloorPlan -(Baniyas UK/IR/Au/NZZ,  Frame and Fabric), FloorPlan -(Al Ameera US/CA Only Fabric change), Rollup Banners (Standard) -Co-branded banners, Rollup Banners (Standard), Rollup Banners (Standard), Totem Branding- Bag Wall, Rollup Stickers, Venue Branding, Entrance Exit Signage, Installation/Uninstall/ Transportation/Handling charges </t>
  </si>
  <si>
    <t>24-0924</t>
  </si>
  <si>
    <t>IDP Education LLC (AbuDhabi)</t>
  </si>
  <si>
    <t>24-0925</t>
  </si>
  <si>
    <t>Gift Card</t>
  </si>
  <si>
    <t>24-0926</t>
  </si>
  <si>
    <t>Dubai School Coloring Book</t>
  </si>
  <si>
    <t>24-0927</t>
  </si>
  <si>
    <t>DBSEH My Activity  Book</t>
  </si>
  <si>
    <t>24-0928</t>
  </si>
  <si>
    <t>JAS Foodboard Box</t>
  </si>
  <si>
    <t>24-0929</t>
  </si>
  <si>
    <t>Metal badge - LEMON Pin Badges</t>
  </si>
  <si>
    <t>24-0930</t>
  </si>
  <si>
    <t>8 fold brochure - Dubai School</t>
  </si>
  <si>
    <t>24-0931</t>
  </si>
  <si>
    <t>American University in Emirates</t>
  </si>
  <si>
    <t xml:space="preserve">Metal badge (Customized), Box (Customized) </t>
  </si>
  <si>
    <t>24-0932</t>
  </si>
  <si>
    <t>Decisive zone</t>
  </si>
  <si>
    <t>24-0933</t>
  </si>
  <si>
    <t>Acrylic stands - DBS Group</t>
  </si>
  <si>
    <t>24-0934</t>
  </si>
  <si>
    <t>Printing on Canvas</t>
  </si>
  <si>
    <t>24-0935</t>
  </si>
  <si>
    <t>Stickers with die-cut</t>
  </si>
  <si>
    <t>24-0935R</t>
  </si>
  <si>
    <t>24-0936</t>
  </si>
  <si>
    <t>Tower Frame - DBS Group</t>
  </si>
  <si>
    <t>24-0937</t>
  </si>
  <si>
    <t>Paper Cups (double Wall) - DBSJP</t>
  </si>
  <si>
    <t>24-0938</t>
  </si>
  <si>
    <t>Black Swan Business Setup Services L.L.C</t>
  </si>
  <si>
    <t>Cut out for Wall of Purpose</t>
  </si>
  <si>
    <t>24-0939R1</t>
  </si>
  <si>
    <t xml:space="preserve">Sticker installation of  hose display and Painting of base </t>
  </si>
  <si>
    <t>24-0940</t>
  </si>
  <si>
    <t>Table Flag With Stand ( Silver )</t>
  </si>
  <si>
    <t>24-0941</t>
  </si>
  <si>
    <t>24-0942</t>
  </si>
  <si>
    <t>Non woven Bag</t>
  </si>
  <si>
    <t>24-0943</t>
  </si>
  <si>
    <t>24-0944</t>
  </si>
  <si>
    <t>24-0945</t>
  </si>
  <si>
    <t>Flag with wooden pole - DBSJP</t>
  </si>
  <si>
    <t>24-0946</t>
  </si>
  <si>
    <t>24-0947</t>
  </si>
  <si>
    <t>Cancer Ribbon Acrylic Sign - Donation box (DSK)</t>
  </si>
  <si>
    <t>24-0948</t>
  </si>
  <si>
    <t>3D Free standing Hashtag Signage - UIS</t>
  </si>
  <si>
    <t>24-0949</t>
  </si>
  <si>
    <t>Rollup Banner - Broadbase - Dubai School</t>
  </si>
  <si>
    <t>24-0950</t>
  </si>
  <si>
    <t>Photo Frame - JAS</t>
  </si>
  <si>
    <t>24-0951</t>
  </si>
  <si>
    <t>24-0952</t>
  </si>
  <si>
    <t>24-0953</t>
  </si>
  <si>
    <t>24-0954</t>
  </si>
  <si>
    <t>Notebook (PU hard cover), Pen, Anti Stress balls, Waterbottle</t>
  </si>
  <si>
    <t>24-0955</t>
  </si>
  <si>
    <t>24-0956</t>
  </si>
  <si>
    <t xml:space="preserve">DBS Mira-A5 flyer, Rollup, Business cards  </t>
  </si>
  <si>
    <t>24-0957</t>
  </si>
  <si>
    <t>DS Khawaneej-A. Banner with installation (tape)</t>
  </si>
  <si>
    <t>24-0958</t>
  </si>
  <si>
    <t>McMaster-Booth branding - Sharjah Expo 9-12th Oct 2024</t>
  </si>
  <si>
    <t>24-0959</t>
  </si>
  <si>
    <t>24-0960</t>
  </si>
  <si>
    <t xml:space="preserve">Genz Stickers </t>
  </si>
  <si>
    <t>24-0961</t>
  </si>
  <si>
    <t>Mark Goodwin</t>
  </si>
  <si>
    <t>24-0962R</t>
  </si>
  <si>
    <t>24-0963R</t>
  </si>
  <si>
    <t xml:space="preserve">Brochure </t>
  </si>
  <si>
    <t>24-0964R</t>
  </si>
  <si>
    <t>Cushion covers</t>
  </si>
  <si>
    <t>24-0965</t>
  </si>
  <si>
    <t>HR Orb Delivering Excellence</t>
  </si>
  <si>
    <t>Trophy (Customized)</t>
  </si>
  <si>
    <t>24-0966</t>
  </si>
  <si>
    <t>Abbott</t>
  </si>
  <si>
    <t>Notebook - PU Hard cover (Customized), Metal Pen, Plastic Pen</t>
  </si>
  <si>
    <t>24-0967</t>
  </si>
  <si>
    <t>Emerson</t>
  </si>
  <si>
    <t xml:space="preserve">15W Bamboo Pen Holder </t>
  </si>
  <si>
    <t>24-0968</t>
  </si>
  <si>
    <t>Sandstone</t>
  </si>
  <si>
    <r>
      <t>Business card (</t>
    </r>
    <r>
      <rPr>
        <b/>
        <sz val="11"/>
        <color theme="1"/>
        <rFont val="Aptos Narrow"/>
        <family val="2"/>
        <scheme val="minor"/>
      </rPr>
      <t>Qty : 200</t>
    </r>
    <r>
      <rPr>
        <sz val="11"/>
        <color theme="1"/>
        <rFont val="Aptos Narrow"/>
        <family val="2"/>
        <scheme val="minor"/>
      </rPr>
      <t>)</t>
    </r>
  </si>
  <si>
    <t>24-0969R</t>
  </si>
  <si>
    <t xml:space="preserve">Pens (Metal), Tote Bag </t>
  </si>
  <si>
    <t>24-0970R1</t>
  </si>
  <si>
    <t xml:space="preserve">Booth Branding -Sharjah Expo (9-11 Oct) Option 1, Rollup Banners (Standard) Option 2, Fascia Branding, Branding on reception table </t>
  </si>
  <si>
    <t>24-0971</t>
  </si>
  <si>
    <t>Student and Staff ID PVC Card</t>
  </si>
  <si>
    <t>24-0972</t>
  </si>
  <si>
    <t>24-0973R</t>
  </si>
  <si>
    <t>24-0974</t>
  </si>
  <si>
    <t>Rollup Banner and A5 Flyer</t>
  </si>
  <si>
    <t>24-0975</t>
  </si>
  <si>
    <t xml:space="preserve">Brochure and Designing Charges </t>
  </si>
  <si>
    <t>24-0976</t>
  </si>
  <si>
    <t>MRG</t>
  </si>
  <si>
    <t>Name badge and Lanyard</t>
  </si>
  <si>
    <t>24-0977</t>
  </si>
  <si>
    <t>24-0978</t>
  </si>
  <si>
    <t>Wall Calendar 2025</t>
  </si>
  <si>
    <t>24-0979R</t>
  </si>
  <si>
    <t>Brochure : 2 fold, Spiral note book - A5 and Non woven Bag</t>
  </si>
  <si>
    <t>24-0980R</t>
  </si>
  <si>
    <t>McMaster University</t>
  </si>
  <si>
    <t xml:space="preserve">Brochure  - Grad Studies Brochure 2025 </t>
  </si>
  <si>
    <t>24-0981R1</t>
  </si>
  <si>
    <t>Notepad - Topglue and Hard cover Notebooks</t>
  </si>
  <si>
    <t>24-0982</t>
  </si>
  <si>
    <t>24-0983</t>
  </si>
  <si>
    <t>24-0984</t>
  </si>
  <si>
    <t xml:space="preserve">Event Lab </t>
  </si>
  <si>
    <t xml:space="preserve">Hoodies, Tshirts, Lanyards (customized), Tote Bag and Button Badge </t>
  </si>
  <si>
    <t>24-0985</t>
  </si>
  <si>
    <t>24-0986R</t>
  </si>
  <si>
    <r>
      <t>Non woven bags (</t>
    </r>
    <r>
      <rPr>
        <b/>
        <sz val="11"/>
        <color theme="1"/>
        <rFont val="Aptos Narrow"/>
        <family val="2"/>
        <scheme val="minor"/>
      </rPr>
      <t>Colors: Red / Green / Blue / Orange</t>
    </r>
    <r>
      <rPr>
        <sz val="11"/>
        <color theme="1"/>
        <rFont val="Aptos Narrow"/>
        <family val="2"/>
        <scheme val="minor"/>
      </rPr>
      <t>)</t>
    </r>
  </si>
  <si>
    <t>24-0987</t>
  </si>
  <si>
    <t>Healy Consultants</t>
  </si>
  <si>
    <t>Vinyl Stickers</t>
  </si>
  <si>
    <t>24-0988</t>
  </si>
  <si>
    <t>Notebooks - NB01, Notebooks - NB05, Notebooks - NB07, Notebooks - NB11</t>
  </si>
  <si>
    <t>24-0989</t>
  </si>
  <si>
    <t>DBS J-Leaflet – 3 fold(Offset</t>
  </si>
  <si>
    <t>24-0990</t>
  </si>
  <si>
    <t>University of Manchester</t>
  </si>
  <si>
    <t xml:space="preserve">Tyvek Wrist band with QR code </t>
  </si>
  <si>
    <t>24-0991</t>
  </si>
  <si>
    <t>Hardcover Notebook - Taaleem</t>
  </si>
  <si>
    <t>24-0992</t>
  </si>
  <si>
    <t>24-0993</t>
  </si>
  <si>
    <t>Sukhdeep Human Resources Consultancies Est</t>
  </si>
  <si>
    <t>Design, Printing and Installation of Interior Office Glass and Wall Vinyl Stickers</t>
  </si>
  <si>
    <t>24-0994</t>
  </si>
  <si>
    <r>
      <t>Business cards (</t>
    </r>
    <r>
      <rPr>
        <b/>
        <sz val="11"/>
        <color theme="1"/>
        <rFont val="Aptos Narrow"/>
        <family val="2"/>
        <scheme val="minor"/>
      </rPr>
      <t>Qty : 1000</t>
    </r>
    <r>
      <rPr>
        <sz val="11"/>
        <color theme="1"/>
        <rFont val="Aptos Narrow"/>
        <family val="2"/>
        <scheme val="minor"/>
      </rPr>
      <t>)</t>
    </r>
  </si>
  <si>
    <t>24-0995</t>
  </si>
  <si>
    <t xml:space="preserve">TAM TRADING FZ-LLC </t>
  </si>
  <si>
    <t>Brochure ( Offset Printing ) Reprinting</t>
  </si>
  <si>
    <t>24-0996R</t>
  </si>
  <si>
    <t>Fabric Pop up and Backdrop - Rollup Broadbase</t>
  </si>
  <si>
    <t>24-0997R1</t>
  </si>
  <si>
    <t>Applus</t>
  </si>
  <si>
    <t>Sunshade</t>
  </si>
  <si>
    <t>24-0998</t>
  </si>
  <si>
    <r>
      <t xml:space="preserve">Business Card (Qty : </t>
    </r>
    <r>
      <rPr>
        <b/>
        <sz val="11"/>
        <color theme="1"/>
        <rFont val="Aptos Narrow"/>
        <family val="2"/>
        <scheme val="minor"/>
      </rPr>
      <t>300x5 names</t>
    </r>
    <r>
      <rPr>
        <sz val="11"/>
        <color theme="1"/>
        <rFont val="Aptos Narrow"/>
        <family val="2"/>
        <scheme val="minor"/>
      </rPr>
      <t>)</t>
    </r>
  </si>
  <si>
    <t>24-0999</t>
  </si>
  <si>
    <t xml:space="preserve">Flyer - 2 fold-Al Rashed - English, Al Rashed - Chinese, Al Nahi - English,Al Nahi - Chinese and Al Nahi - Arabic </t>
  </si>
  <si>
    <t>24-1000</t>
  </si>
  <si>
    <t>24-1001</t>
  </si>
  <si>
    <t>Posters - GIS</t>
  </si>
  <si>
    <t>24-1002R1</t>
  </si>
  <si>
    <t>8 fold brochure - Offset printing – Dubai School</t>
  </si>
  <si>
    <t>24-1003R</t>
  </si>
  <si>
    <t>Flower Box and Vehicle branding</t>
  </si>
  <si>
    <t>24-1004</t>
  </si>
  <si>
    <t xml:space="preserve">Business Cards (Khaled Abo El-Naga) </t>
  </si>
  <si>
    <t>24-1005</t>
  </si>
  <si>
    <t xml:space="preserve">A5 Hardcover Ruled Notebook Glossy, Pen (Metal), Rollup Banner </t>
  </si>
  <si>
    <t>24-1006R5</t>
  </si>
  <si>
    <t>Eternal Homes</t>
  </si>
  <si>
    <t xml:space="preserve">Notebook A5 PU, Metal Pen,  Non woven bag  </t>
  </si>
  <si>
    <t>24-1007</t>
  </si>
  <si>
    <t xml:space="preserve">Pen (Plastic)-( Two position printing), Business cards,A6 Card </t>
  </si>
  <si>
    <t>24-1008</t>
  </si>
  <si>
    <t>Roll up (Size: 85x200cm)</t>
  </si>
  <si>
    <t>24-1009</t>
  </si>
  <si>
    <r>
      <t xml:space="preserve">Safety Vest (Customized) - Charter School </t>
    </r>
    <r>
      <rPr>
        <b/>
        <sz val="11"/>
        <color theme="1"/>
        <rFont val="Aptos Narrow"/>
        <family val="2"/>
        <scheme val="minor"/>
      </rPr>
      <t>(Color:Blue/Brown/Green/Yellow)</t>
    </r>
  </si>
  <si>
    <t>24-1010</t>
  </si>
  <si>
    <r>
      <t>Safety Vest (Customized) - Charter School (</t>
    </r>
    <r>
      <rPr>
        <b/>
        <sz val="11"/>
        <color theme="1"/>
        <rFont val="Aptos Narrow"/>
        <family val="2"/>
        <scheme val="minor"/>
      </rPr>
      <t>Color:Blue</t>
    </r>
    <r>
      <rPr>
        <sz val="11"/>
        <color theme="1"/>
        <rFont val="Aptos Narrow"/>
        <family val="2"/>
        <scheme val="minor"/>
      </rPr>
      <t>)</t>
    </r>
  </si>
  <si>
    <t>24-1011</t>
  </si>
  <si>
    <t>Regent Middle East</t>
  </si>
  <si>
    <t>Trifold Flyer - Rime Patson, Trifold Flyer - RCL Patson</t>
  </si>
  <si>
    <t>24-1012</t>
  </si>
  <si>
    <r>
      <t>Safety Vest (Customized) - Dubai Schools (</t>
    </r>
    <r>
      <rPr>
        <b/>
        <sz val="11"/>
        <color theme="1"/>
        <rFont val="Aptos Narrow"/>
        <family val="2"/>
        <scheme val="minor"/>
      </rPr>
      <t>200 – Adults / 20 – kids</t>
    </r>
    <r>
      <rPr>
        <sz val="11"/>
        <color theme="1"/>
        <rFont val="Aptos Narrow"/>
        <family val="2"/>
        <scheme val="minor"/>
      </rPr>
      <t xml:space="preserve">) </t>
    </r>
  </si>
  <si>
    <t>24-1013</t>
  </si>
  <si>
    <r>
      <t>Business cards (Offset printing)-</t>
    </r>
    <r>
      <rPr>
        <b/>
        <sz val="11"/>
        <color theme="1"/>
        <rFont val="Aptos Narrow"/>
        <family val="2"/>
        <scheme val="minor"/>
      </rPr>
      <t>Jan Egil Hjelle, Jitty John, Mohammed Hosny, Wahid Menacer</t>
    </r>
  </si>
  <si>
    <t>24-1014R</t>
  </si>
  <si>
    <t>Abdos Lamitubes Manufacturing LLC</t>
  </si>
  <si>
    <t>Note Book (A5,Red color) - Pen (Metal), Option with out debossing</t>
  </si>
  <si>
    <t>24-1015R</t>
  </si>
  <si>
    <t xml:space="preserve">A4 Flyer </t>
  </si>
  <si>
    <t>24-1016</t>
  </si>
  <si>
    <t>AUT International Group</t>
  </si>
  <si>
    <t>24-1017</t>
  </si>
  <si>
    <t>A4 Envelopes (IELTS Dubai &amp; IELTS Abu Dhabi)</t>
  </si>
  <si>
    <t>24-1018</t>
  </si>
  <si>
    <t>IELTS Printing - Taaeen, Transcend and International Foundation Group</t>
  </si>
  <si>
    <t>24-1019</t>
  </si>
  <si>
    <t>GF posters</t>
  </si>
  <si>
    <t>24-1020</t>
  </si>
  <si>
    <t>Raincoat (Color: Blue)</t>
  </si>
  <si>
    <t>24-1021</t>
  </si>
  <si>
    <r>
      <t>Ahmed's Adventure Book (</t>
    </r>
    <r>
      <rPr>
        <b/>
        <sz val="11"/>
        <color theme="1"/>
        <rFont val="Aptos Narrow"/>
        <family val="2"/>
        <scheme val="minor"/>
      </rPr>
      <t>1850- English, 1850- Arabic</t>
    </r>
    <r>
      <rPr>
        <sz val="11"/>
        <color theme="1"/>
        <rFont val="Aptos Narrow"/>
        <family val="2"/>
        <scheme val="minor"/>
      </rPr>
      <t xml:space="preserve">)  </t>
    </r>
  </si>
  <si>
    <t>24-1022</t>
  </si>
  <si>
    <t>A5 Flyer (IELTS Offer)- QR Code Stickers for Roll Up</t>
  </si>
  <si>
    <t>24-1023</t>
  </si>
  <si>
    <t>Certificates</t>
  </si>
  <si>
    <t>24-1024R1</t>
  </si>
  <si>
    <t>Flyers (1000 x 2 artwork)</t>
  </si>
  <si>
    <t>24-1025R</t>
  </si>
  <si>
    <t>KHF Automotive Trading LLC</t>
  </si>
  <si>
    <t>Catalog, Leaflets - 3 Fold, Posters, Charging cable kit</t>
  </si>
  <si>
    <t>24-1026</t>
  </si>
  <si>
    <t>AAG-Brochure</t>
  </si>
  <si>
    <t>24-1027R</t>
  </si>
  <si>
    <t>24-1028</t>
  </si>
  <si>
    <t>Axis Workshop</t>
  </si>
  <si>
    <t>Car Mat</t>
  </si>
  <si>
    <t>24-1029</t>
  </si>
  <si>
    <t>IDP Education LLC (Abu Dhabi)</t>
  </si>
  <si>
    <t>24-1030R</t>
  </si>
  <si>
    <t>Crystal Trophy (MIP Recognition Award)</t>
  </si>
  <si>
    <t>24-1031</t>
  </si>
  <si>
    <t>Rollup Banner, Backdrop with frame and Pop up banner</t>
  </si>
  <si>
    <t>24-1032</t>
  </si>
  <si>
    <t>Big Card</t>
  </si>
  <si>
    <t>24-1033</t>
  </si>
  <si>
    <t>Tote Bag (Color Bag)</t>
  </si>
  <si>
    <t>24-1034</t>
  </si>
  <si>
    <t>Budget Rent A Car LLC</t>
  </si>
  <si>
    <t>Acrylic keyrings</t>
  </si>
  <si>
    <t>24-1035</t>
  </si>
  <si>
    <t>Top Spiral Notebook, A4 Envelopes, A4 Notepad, Stainless steel badges - Individual names</t>
  </si>
  <si>
    <t>24-1036</t>
  </si>
  <si>
    <t>24-1037</t>
  </si>
  <si>
    <t>Al Nahi Oil Services Co Ltd</t>
  </si>
  <si>
    <t xml:space="preserve">WATER BOTTLES,  COFFEE MUGS, NOTEBOOKS, PENS / PENCILS, METAL PENS, MAGNETIC WIRELESS POWERBANK </t>
  </si>
  <si>
    <t>24-1038R</t>
  </si>
  <si>
    <t>UKCBC FZE</t>
  </si>
  <si>
    <t xml:space="preserve">Lanyard </t>
  </si>
  <si>
    <t>24-1039</t>
  </si>
  <si>
    <t>Business Card (Julius Reyes)</t>
  </si>
  <si>
    <t>24-1040</t>
  </si>
  <si>
    <t>Campus branding (Vinyl Sticker on Glass( Grey Back), Vinyl Sticker on Glass (Grey back) - 714 cm x 137 cm, One way Vision sticker- 340 cm x 134 cm × 2 sides)</t>
  </si>
  <si>
    <t>24-1041</t>
  </si>
  <si>
    <t xml:space="preserve">Flyers – PigCAM Datasheet </t>
  </si>
  <si>
    <t>24-1042</t>
  </si>
  <si>
    <t>Amity University</t>
  </si>
  <si>
    <t>Medal with box (Gold - 19, Silver - 13, Bronze - 2) / Medal with box (Red Box )</t>
  </si>
  <si>
    <t>24-1043</t>
  </si>
  <si>
    <t>Koala Key chain-Name Tags (Individual names)-Pennant flags</t>
  </si>
  <si>
    <t>24-1044</t>
  </si>
  <si>
    <t>Sea Center Shipping Services LLC</t>
  </si>
  <si>
    <t>Spiral note book - A5-Desk Calendar 2025</t>
  </si>
  <si>
    <t>24-1045</t>
  </si>
  <si>
    <t xml:space="preserve">Polo Shirt (Premium) Santhome Dryand Cool - Polo Shirt (Customized) </t>
  </si>
  <si>
    <t>24-1046</t>
  </si>
  <si>
    <t>Executive Style Shirt with embroidery-Executive Style Pant with embroidery</t>
  </si>
  <si>
    <t>24-1047</t>
  </si>
  <si>
    <t>GLIMMER Properties</t>
  </si>
  <si>
    <t>LOGO - Steel cut letter with 10 mm acrylic - Vinyl Stickers on Wall - Vinyl Sticker/ Grey Back on Glass</t>
  </si>
  <si>
    <t>24-1048</t>
  </si>
  <si>
    <t>Square Tissue Box - Black- Rectangular  Tissue Box - Black/White</t>
  </si>
  <si>
    <t>24-1049R2</t>
  </si>
  <si>
    <t xml:space="preserve">Tote bag </t>
  </si>
  <si>
    <t>24-1050</t>
  </si>
  <si>
    <t>American International School in Abu Dhabi</t>
  </si>
  <si>
    <t>Polo Shirt (for kids) - School Bag - Soft Toy - (LION)</t>
  </si>
  <si>
    <t>24-1051</t>
  </si>
  <si>
    <t xml:space="preserve">Voxtel </t>
  </si>
  <si>
    <t>24-1052</t>
  </si>
  <si>
    <t>Business Card (Karishma Joshi)</t>
  </si>
  <si>
    <t>24-1053</t>
  </si>
  <si>
    <t>Glass Branding (Reprinting)</t>
  </si>
  <si>
    <t>24-1054R</t>
  </si>
  <si>
    <t xml:space="preserve">Paper bag with printing, Pen with printing, Key chain with printing, Flyers, Enquiry Form, Spiral notepad, Notebook </t>
  </si>
  <si>
    <t>24-1055</t>
  </si>
  <si>
    <t>Saturn ME Trading LLC</t>
  </si>
  <si>
    <t>Designing Company Profile-Polo Shirt (Premium) Santhome Dryand Cool</t>
  </si>
  <si>
    <t>24-1056</t>
  </si>
  <si>
    <t>AL MUKHTAR ROYAL FOR DOCUMENTS CLEARING SERVICES EST</t>
  </si>
  <si>
    <t>Business card (200 x 5), Brochure -  Catalogue, Flyers, Badges, Envelope, Vinyl Sticker, Note book</t>
  </si>
  <si>
    <t>24-1057R</t>
  </si>
  <si>
    <t>Snap ark</t>
  </si>
  <si>
    <t>Wall branding-Wall Signage</t>
  </si>
  <si>
    <t>24-1058</t>
  </si>
  <si>
    <t>Danaher</t>
  </si>
  <si>
    <t>Recycled Stainless Steel Vacuum Bottle with Loop</t>
  </si>
  <si>
    <t>24-1059R</t>
  </si>
  <si>
    <t xml:space="preserve">Computer Stationery - Preprinted Receipt </t>
  </si>
  <si>
    <t>24-1060R</t>
  </si>
  <si>
    <t xml:space="preserve">Raincoat </t>
  </si>
  <si>
    <t>24-1061</t>
  </si>
  <si>
    <t>Wurth Gulf</t>
  </si>
  <si>
    <t>Ceramic Mug with Cork and Lid – Black – Option 1, Ceramic Mug with Cork and Lid - Black-Option 2, Glass Mug</t>
  </si>
  <si>
    <t>24-1062</t>
  </si>
  <si>
    <t xml:space="preserve">A4 Certificate, A4 Appreciation letter folded as a scroll with silver ribbon typing: </t>
  </si>
  <si>
    <t>24-1063</t>
  </si>
  <si>
    <t xml:space="preserve">File folder (Ring binder) </t>
  </si>
  <si>
    <t>24-1064</t>
  </si>
  <si>
    <t>Beckman Coulter</t>
  </si>
  <si>
    <t>Square Tissue box cover-Rectangle Tissue box cover</t>
  </si>
  <si>
    <t>24-1065</t>
  </si>
  <si>
    <t>Desk Calendar 2025-Wall Calendar</t>
  </si>
  <si>
    <t>24-1066</t>
  </si>
  <si>
    <t xml:space="preserve">Gift Box </t>
  </si>
  <si>
    <t>24-1067</t>
  </si>
  <si>
    <t>24-1068</t>
  </si>
  <si>
    <r>
      <t>Business Cards (</t>
    </r>
    <r>
      <rPr>
        <b/>
        <sz val="11"/>
        <color theme="1"/>
        <rFont val="Aptos Narrow"/>
        <family val="2"/>
        <scheme val="minor"/>
      </rPr>
      <t>Watson Lobo</t>
    </r>
    <r>
      <rPr>
        <sz val="11"/>
        <color theme="1"/>
        <rFont val="Aptos Narrow"/>
        <family val="2"/>
        <scheme val="minor"/>
      </rPr>
      <t>)</t>
    </r>
  </si>
  <si>
    <t>24-1069</t>
  </si>
  <si>
    <t>Polo Shirt-Recycled Plastic Pen - Black-Stainless steel badges - Individual names - Business card</t>
  </si>
  <si>
    <t>24-1070R</t>
  </si>
  <si>
    <t>Middlesex University Dubai</t>
  </si>
  <si>
    <t>Bunting Flag</t>
  </si>
  <si>
    <t>24-1071</t>
  </si>
  <si>
    <t>Megacom Media</t>
  </si>
  <si>
    <r>
      <t xml:space="preserve">USB – </t>
    </r>
    <r>
      <rPr>
        <b/>
        <sz val="11"/>
        <color theme="1"/>
        <rFont val="Aptos Narrow"/>
        <family val="2"/>
        <scheme val="minor"/>
      </rPr>
      <t>4 GB</t>
    </r>
  </si>
  <si>
    <t>24-1072</t>
  </si>
  <si>
    <t>Metal badge - Black</t>
  </si>
  <si>
    <t>24-1073</t>
  </si>
  <si>
    <t>Dandidor</t>
  </si>
  <si>
    <t>Anti Stress balls-Eco-neutral A5 Cork Fabric Hard Cover Notebook and Pen Set</t>
  </si>
  <si>
    <t>24-1074</t>
  </si>
  <si>
    <r>
      <t xml:space="preserve">8 fold brochure (Additional) - </t>
    </r>
    <r>
      <rPr>
        <b/>
        <sz val="11"/>
        <color theme="1"/>
        <rFont val="Aptos Narrow"/>
        <family val="2"/>
        <scheme val="minor"/>
      </rPr>
      <t xml:space="preserve">150x1 artwork (English), 50x1 artwork (Arabic)  </t>
    </r>
  </si>
  <si>
    <t>24-1075</t>
  </si>
  <si>
    <t>Crystal Trophy (MIP Recognition Award)- Hamdi Mechichi, 'Sarah Hijazi</t>
  </si>
  <si>
    <t>24-1076R2</t>
  </si>
  <si>
    <t xml:space="preserve">Grad Ceremony Booklet, Guest Tickets, Rollup Banners, Lectern Sign, Backdrop for Photobooth (Lobby Area), Seat Stickers / Wrap, Glass Wall, Reception Counter, Auditorium Stage skirting branding, Red Carpet( If required)  </t>
  </si>
  <si>
    <t>24-1077</t>
  </si>
  <si>
    <t>RightFit Apparel and Tailoring</t>
  </si>
  <si>
    <t>Calendar 2025 - Eco-neutral A5 Cork Fabric Hard Cover Notebook and Pen Set</t>
  </si>
  <si>
    <t>24-1078</t>
  </si>
  <si>
    <t xml:space="preserve">Printing and Installing Vinyl Sticker, Printing and Installing Vinyl Posters, Fabrication and installation of Acrylic Sandwich Panels, Uplift Logo in Meeting Room </t>
  </si>
  <si>
    <t>24-1079R1</t>
  </si>
  <si>
    <t xml:space="preserve">Twin Note Book, Metal Pen  </t>
  </si>
  <si>
    <t>24-1080</t>
  </si>
  <si>
    <t>Maersk Logistics and Services FZE</t>
  </si>
  <si>
    <t xml:space="preserve">Polo shirt (Uniform) </t>
  </si>
  <si>
    <t>24-1081R</t>
  </si>
  <si>
    <t>Flags - Table flag without pole</t>
  </si>
  <si>
    <t>24-1082R2</t>
  </si>
  <si>
    <t xml:space="preserve">Gulf Islamic Investment </t>
  </si>
  <si>
    <t xml:space="preserve">Plaques (Trophies), Certificate &amp; PU certificate holder </t>
  </si>
  <si>
    <t>24-1083</t>
  </si>
  <si>
    <t xml:space="preserve">A4 flyer, Rollup Banner </t>
  </si>
  <si>
    <t>24-1084</t>
  </si>
  <si>
    <t>Gulf Islamic Investment</t>
  </si>
  <si>
    <t>Note Book, Pen - Metallic, Desk Calendar, Wooden phone stand, Coaster, Stress Ball, Tray case</t>
  </si>
  <si>
    <t>24-1085</t>
  </si>
  <si>
    <t>24-1086</t>
  </si>
  <si>
    <t>Polo Shirt - White shirt / Red stitching  -X Large -(14)</t>
  </si>
  <si>
    <t>24-1087</t>
  </si>
  <si>
    <t>Regent College London</t>
  </si>
  <si>
    <t xml:space="preserve">Customised Box, Paper bag with printing, Round Neck T shirt, Water Bottle , Lanyards,  PVC Id Card </t>
  </si>
  <si>
    <t>24-1088R</t>
  </si>
  <si>
    <r>
      <t>Business Cards - '</t>
    </r>
    <r>
      <rPr>
        <b/>
        <sz val="11"/>
        <color theme="1"/>
        <rFont val="Aptos Narrow"/>
        <family val="2"/>
        <scheme val="minor"/>
      </rPr>
      <t>200 x 10 name</t>
    </r>
  </si>
  <si>
    <t>24-1089R1</t>
  </si>
  <si>
    <t xml:space="preserve">A4 Flyer - Metal Pens - Polo Shirt  </t>
  </si>
  <si>
    <t>24-1090</t>
  </si>
  <si>
    <t>24-1091R</t>
  </si>
  <si>
    <t>Hoodies (Customized)</t>
  </si>
  <si>
    <t>24-1092</t>
  </si>
  <si>
    <t>24-1093</t>
  </si>
  <si>
    <t>Business Card (Nidhi Dahiya)</t>
  </si>
  <si>
    <t>24-1094</t>
  </si>
  <si>
    <t>24-1095R</t>
  </si>
  <si>
    <t>Bauble (Red)</t>
  </si>
  <si>
    <t>24-1096R</t>
  </si>
  <si>
    <t xml:space="preserve">Rollup Banner (Standard), Certificate of Attendance, Summit Agenda, Table tent, Name badge, Trophy   </t>
  </si>
  <si>
    <t>24-1097</t>
  </si>
  <si>
    <t>Certificates - Excellence Awards</t>
  </si>
  <si>
    <t>24-1098</t>
  </si>
  <si>
    <t xml:space="preserve">Plaques (Trophies), Star Crystal Trophy, Customised trophies, Metal Cups </t>
  </si>
  <si>
    <t>24-1099</t>
  </si>
  <si>
    <t>Desk Calendar Option 1 and Option 2</t>
  </si>
  <si>
    <t>24-1100</t>
  </si>
  <si>
    <t>Dubai Health</t>
  </si>
  <si>
    <t>Table Calendar</t>
  </si>
  <si>
    <t>24-1101</t>
  </si>
  <si>
    <t>Pluspoint Digital</t>
  </si>
  <si>
    <t>Vinyl Sticker on Glass</t>
  </si>
  <si>
    <t>24-1102</t>
  </si>
  <si>
    <t>NTE Creative Marketing Management Services LLC</t>
  </si>
  <si>
    <t xml:space="preserve">Office branding  and Inside Branding </t>
  </si>
  <si>
    <t>24-1103</t>
  </si>
  <si>
    <t xml:space="preserve">Flyer - 2 fold  (Arabic) </t>
  </si>
  <si>
    <t>24-1104</t>
  </si>
  <si>
    <t>Dubai Dental Hospital</t>
  </si>
  <si>
    <t xml:space="preserve">Name badges (Individual names) </t>
  </si>
  <si>
    <t>24-1105</t>
  </si>
  <si>
    <t xml:space="preserve">Round Wooden Coaster, Stress balls, Phone ring holder, Car sunshade - PolyesterBamboo Flask with Temperature Display, Gift box  </t>
  </si>
  <si>
    <t>24-1106</t>
  </si>
  <si>
    <t>Nipa Decoration / Dandidor</t>
  </si>
  <si>
    <r>
      <t>Anti Stress balls-</t>
    </r>
    <r>
      <rPr>
        <b/>
        <sz val="11"/>
        <color theme="1"/>
        <rFont val="Aptos Narrow"/>
        <family val="2"/>
        <scheme val="minor"/>
      </rPr>
      <t xml:space="preserve"> Yellow</t>
    </r>
  </si>
  <si>
    <t>24-1107</t>
  </si>
  <si>
    <t>Acrylic Board - (company logo)</t>
  </si>
  <si>
    <t>24-1108</t>
  </si>
  <si>
    <t>Card holder</t>
  </si>
  <si>
    <t>24-1109R1</t>
  </si>
  <si>
    <t>Students Course Guide</t>
  </si>
  <si>
    <t>24-1110</t>
  </si>
  <si>
    <t xml:space="preserve">Regent Education </t>
  </si>
  <si>
    <t>Keychains - Highlighter- USB Flash Drives- Stickers/Tatoos - Tote Bag- Pen- Coffee Cups - Stationery Gift Set - Eco-Friendly Gift Set</t>
  </si>
  <si>
    <t>24-1111</t>
  </si>
  <si>
    <t>Tabletop Banner - Business Card</t>
  </si>
  <si>
    <t>24-1112</t>
  </si>
  <si>
    <t xml:space="preserve">Cloudlink Solutions </t>
  </si>
  <si>
    <t>Polo Shirt - Qty - by size- M - 10/ L - 10/ X Large</t>
  </si>
  <si>
    <t>24-1113</t>
  </si>
  <si>
    <t>Merit Freight Systems Co. Pvt. Ltd.</t>
  </si>
  <si>
    <t>Delivery Order</t>
  </si>
  <si>
    <t>24-1114</t>
  </si>
  <si>
    <t>Rollup Banner- Size: 160x60cm</t>
  </si>
  <si>
    <t>24-1115</t>
  </si>
  <si>
    <t xml:space="preserve">IDP IELTS Tshirts </t>
  </si>
  <si>
    <t>24-1116</t>
  </si>
  <si>
    <t>24-1117</t>
  </si>
  <si>
    <t>Campus branding, Glass branding, Supply and printing of L banner flag</t>
  </si>
  <si>
    <t>24-1118</t>
  </si>
  <si>
    <t>24-1119</t>
  </si>
  <si>
    <t xml:space="preserve">Al Suhail Ship Maintenance Services LLC </t>
  </si>
  <si>
    <t>Backdrop – Self standing, Roll up Banner</t>
  </si>
  <si>
    <t>24-1120</t>
  </si>
  <si>
    <t>Flyer A4</t>
  </si>
  <si>
    <t>24-1121R</t>
  </si>
  <si>
    <t>Gift Whispers</t>
  </si>
  <si>
    <t xml:space="preserve">Eco Friendly Pencil set with seed, Charging cable, Cable Kit,  Card Case, A5 Hard Cover Notebook and Pen Set, 10000mAh PD Powerbank, Water Bottle, 10000mAh Fast Charge Powerbank  </t>
  </si>
  <si>
    <t>24-1122</t>
  </si>
  <si>
    <t>Poster ('100x1 artwork &amp; 50x1 artwork)</t>
  </si>
  <si>
    <t>24-1123</t>
  </si>
  <si>
    <t>24-1124</t>
  </si>
  <si>
    <t xml:space="preserve">Metal Ballpoint Pen </t>
  </si>
  <si>
    <t>24-1125R</t>
  </si>
  <si>
    <t>Oilmar DMCC</t>
  </si>
  <si>
    <t>TARRENZ - Giftology 5000 mAh Magnetic Wireless Powerbank and 10000 Mah power bank</t>
  </si>
  <si>
    <t>24-1126</t>
  </si>
  <si>
    <t xml:space="preserve">Business card, Poster, Plaque - Graduating Students, Photography &amp; Videography, Valedictorian Medal, Trophies for Toppers </t>
  </si>
  <si>
    <t>24-1127</t>
  </si>
  <si>
    <t>Business Cards - Mohammad Shbaita</t>
  </si>
  <si>
    <t>24-1128</t>
  </si>
  <si>
    <t xml:space="preserve">L Flag (Advertising Flag) </t>
  </si>
  <si>
    <t>24-1129</t>
  </si>
  <si>
    <t xml:space="preserve">Paper Cups (Double Wall) </t>
  </si>
  <si>
    <t>24-1130</t>
  </si>
  <si>
    <t>Certificate Holder (Purple)</t>
  </si>
  <si>
    <t>24-1131</t>
  </si>
  <si>
    <t xml:space="preserve">Gold finish plate with base acrylic </t>
  </si>
  <si>
    <t>24-1132</t>
  </si>
  <si>
    <t>Eco-neutral A5 Cork Fabric Hard Cover Notebook and Pen Set - Red</t>
  </si>
  <si>
    <t>24-1133R</t>
  </si>
  <si>
    <t>August Real Estate Brokers LLC</t>
  </si>
  <si>
    <t>Business Cards (100 x 3)</t>
  </si>
  <si>
    <t>24-1134</t>
  </si>
  <si>
    <t>Roll up, A4 Flyer</t>
  </si>
  <si>
    <t>24-1135R2</t>
  </si>
  <si>
    <t xml:space="preserve">Twin Note Book, Metal Pen, Pencil </t>
  </si>
  <si>
    <t>24-1136R2</t>
  </si>
  <si>
    <t>Dubai Academic Health Corporation (GME)</t>
  </si>
  <si>
    <t>Twin Note Book, Metal Pen</t>
  </si>
  <si>
    <t>24-1137</t>
  </si>
  <si>
    <t>Crystal Trophies (Customised)</t>
  </si>
  <si>
    <t>24-1138</t>
  </si>
  <si>
    <t>24-1139</t>
  </si>
  <si>
    <t>Vinyl Sticker/ Grey Back on Glass</t>
  </si>
  <si>
    <t>24-1140R</t>
  </si>
  <si>
    <t>Blue and Clear Trophy - Small</t>
  </si>
  <si>
    <t>24-1141</t>
  </si>
  <si>
    <t xml:space="preserve">5000 mah power bank, Pen drive, Jute Base Cotton String Bag, Eco-neutral Jute Shopping Bag - Vertical </t>
  </si>
  <si>
    <t>24-1142</t>
  </si>
  <si>
    <t>Business Cards ( Sajid Nisar )</t>
  </si>
  <si>
    <t>24-1143</t>
  </si>
  <si>
    <t>Calendar 2024, Agenda Book, Pen</t>
  </si>
  <si>
    <t>24-1144R</t>
  </si>
  <si>
    <t>Wooden Plaque, Greeting card (FOC)</t>
  </si>
  <si>
    <t>24-1145</t>
  </si>
  <si>
    <t>24-1146</t>
  </si>
  <si>
    <t>Badges</t>
  </si>
  <si>
    <t>24-1147</t>
  </si>
  <si>
    <t>Business Cards (Basmah Al-Khawaja)</t>
  </si>
  <si>
    <t>24-1148</t>
  </si>
  <si>
    <t>Certificate, Poster</t>
  </si>
  <si>
    <t>24-1149</t>
  </si>
  <si>
    <t>Gift set (Notebooks and Pen)</t>
  </si>
  <si>
    <t>DINEL</t>
  </si>
  <si>
    <t>24-1150</t>
  </si>
  <si>
    <t>Jackets</t>
  </si>
  <si>
    <t>24-1151</t>
  </si>
  <si>
    <t>Pencil</t>
  </si>
  <si>
    <t>24-1152</t>
  </si>
  <si>
    <t>Backdrop</t>
  </si>
  <si>
    <t>24-1153</t>
  </si>
  <si>
    <t>24-1154</t>
  </si>
  <si>
    <t xml:space="preserve">Customized Note book, Pencil set, Pen, USB Flash Drives, Highlighter, Phone Stands, Power Bank, Laptop Sleeve, Water Bottle, Coffee Mug, Yoga mat, Baseball caps, Cable Kit, Wireless Earbuds, Mini Bluetooth speaker, Wooden puzzle     </t>
  </si>
  <si>
    <t>24-1155</t>
  </si>
  <si>
    <t>LT DESIGN ARCHITECTURE LLC</t>
  </si>
  <si>
    <t>24-1156</t>
  </si>
  <si>
    <t>24-1157</t>
  </si>
  <si>
    <t>BYYU Gifts</t>
  </si>
  <si>
    <t>Only engraving cost on wooden patch</t>
  </si>
  <si>
    <t>24-1158R1</t>
  </si>
  <si>
    <t>Daptve</t>
  </si>
  <si>
    <t>24-1159</t>
  </si>
  <si>
    <t>Gift Set</t>
  </si>
  <si>
    <t>24-1160R</t>
  </si>
  <si>
    <t>Al Tayer Group LLC</t>
  </si>
  <si>
    <t>ANAND</t>
  </si>
  <si>
    <t>24-1161</t>
  </si>
  <si>
    <t>Desk Calendar - 2025</t>
  </si>
  <si>
    <t>24-1162</t>
  </si>
  <si>
    <t>Business Card '(Smilla Basciani)</t>
  </si>
  <si>
    <t>24-1163</t>
  </si>
  <si>
    <t>24-1164</t>
  </si>
  <si>
    <t>Bamboo Flask with Temperature Display, A5 PU Notebook</t>
  </si>
  <si>
    <t>24-1165</t>
  </si>
  <si>
    <t>Precedence Technologies LLC</t>
  </si>
  <si>
    <t xml:space="preserve">Polo Shirt (Customized) </t>
  </si>
  <si>
    <t>24-1166</t>
  </si>
  <si>
    <t>24-1167</t>
  </si>
  <si>
    <t>Desk Calendar 2025 (7 sheet and 13 sheets)</t>
  </si>
  <si>
    <t>24-1168R</t>
  </si>
  <si>
    <t>DAMCO Contracting</t>
  </si>
  <si>
    <t xml:space="preserve"> Rollup Banner, Table Cloth, Business card </t>
  </si>
  <si>
    <t>24-1169</t>
  </si>
  <si>
    <t>Thermo Fisher Scientific</t>
  </si>
  <si>
    <t>24-1170</t>
  </si>
  <si>
    <t>Flyer (GCU London)</t>
  </si>
  <si>
    <t>24-1171</t>
  </si>
  <si>
    <t>Desk Calendar</t>
  </si>
  <si>
    <t>24-1172</t>
  </si>
  <si>
    <t>Beekeepers Foundation</t>
  </si>
  <si>
    <t>Backdrop, Curvetop flag</t>
  </si>
  <si>
    <t>24-1173</t>
  </si>
  <si>
    <t>24-1174</t>
  </si>
  <si>
    <t>Keychains</t>
  </si>
  <si>
    <t>24-1175</t>
  </si>
  <si>
    <t>Unique Pathfinders General Trading LLC</t>
  </si>
  <si>
    <t>Tuxedo Shirts (Customized)</t>
  </si>
  <si>
    <t>24-1176</t>
  </si>
  <si>
    <t>Trophies</t>
  </si>
  <si>
    <t>24-1177R1</t>
  </si>
  <si>
    <t xml:space="preserve">Polo shirt (Adult), Polo shirts (kids) </t>
  </si>
  <si>
    <t>24-1178</t>
  </si>
  <si>
    <t>Thermo Fisher Scientific Middle East</t>
  </si>
  <si>
    <t xml:space="preserve">Recycled 6-in-1 Charging Cable, Bamboo Pen </t>
  </si>
  <si>
    <t>24-1179</t>
  </si>
  <si>
    <t>Business Cards  (Neetu Singh)</t>
  </si>
  <si>
    <t>24-1180</t>
  </si>
  <si>
    <t>Business Cards 500 x 3 names</t>
  </si>
  <si>
    <t>24-1181</t>
  </si>
  <si>
    <t>Token of Appreciation in Premium Acrylic Certificate Display</t>
  </si>
  <si>
    <t>24-1182</t>
  </si>
  <si>
    <t>Momentum Logistics LLC</t>
  </si>
  <si>
    <t>24-1183</t>
  </si>
  <si>
    <t>Kumon Dubai Knowledge Park Study Centre</t>
  </si>
  <si>
    <t>24-1184</t>
  </si>
  <si>
    <t>Business cards (Amanda Budran)</t>
  </si>
  <si>
    <t>24-1185</t>
  </si>
  <si>
    <t xml:space="preserve">Mugs (2 tone) with individual names </t>
  </si>
  <si>
    <t>24-1186</t>
  </si>
  <si>
    <t>Amrita</t>
  </si>
  <si>
    <t>Vest (Customized)</t>
  </si>
  <si>
    <t>24-1189</t>
  </si>
  <si>
    <t>Vinyl sticker mounted on 10mm foamboard</t>
  </si>
  <si>
    <t>24-1190</t>
  </si>
  <si>
    <t xml:space="preserve">Stamp, Business Card </t>
  </si>
  <si>
    <t>24-1191</t>
  </si>
  <si>
    <t xml:space="preserve">Acrylic boards </t>
  </si>
  <si>
    <t>24-1192R</t>
  </si>
  <si>
    <t>RSVP Events Management</t>
  </si>
  <si>
    <t>Metal Pen, Tote bag, Notebook, Water Bottle</t>
  </si>
  <si>
    <t>24-1193</t>
  </si>
  <si>
    <t xml:space="preserve">A4 Envelopes (customized), A4 Notepad, Top Spiral Notebook </t>
  </si>
  <si>
    <t>24-1194R4</t>
  </si>
  <si>
    <t>Round pin badges</t>
  </si>
  <si>
    <t>24-1195</t>
  </si>
  <si>
    <t>A4 Flyer - Honours Course</t>
  </si>
  <si>
    <t>24-1196</t>
  </si>
  <si>
    <t>24-1197</t>
  </si>
  <si>
    <t>Glideway Migration Services</t>
  </si>
  <si>
    <t xml:space="preserve">Jacket suit with shirt </t>
  </si>
  <si>
    <t>24-1198</t>
  </si>
  <si>
    <t xml:space="preserve">Rollup Banner (QR code) </t>
  </si>
  <si>
    <t>24-1199R</t>
  </si>
  <si>
    <t>24-1200R</t>
  </si>
  <si>
    <t>Gift Box , Roll up, Table Flag With Stand ( Silver )</t>
  </si>
  <si>
    <t>HOLD</t>
  </si>
  <si>
    <t>24-1201</t>
  </si>
  <si>
    <t>Name Badge</t>
  </si>
  <si>
    <t>24-1202</t>
  </si>
  <si>
    <t>Organizer</t>
  </si>
  <si>
    <t>24-1203R</t>
  </si>
  <si>
    <t>Metal Pen- Pecunia, Aurantius</t>
  </si>
  <si>
    <t>24-1204</t>
  </si>
  <si>
    <t xml:space="preserve">Polo Shirt, Safety Vest </t>
  </si>
  <si>
    <t>24-1205</t>
  </si>
  <si>
    <t>Automat Electronic Service</t>
  </si>
  <si>
    <t xml:space="preserve">Crystal Trophy with blue on the side, Certificates, Logo Cutout  </t>
  </si>
  <si>
    <t>24-1206</t>
  </si>
  <si>
    <t xml:space="preserve">5 Panel Heavy Brushed Cotton Cap - Red, Cotton Bags, Tritan Water Bottle, Lanyards (customized), Round neck Tshirt  </t>
  </si>
  <si>
    <t>24-1207</t>
  </si>
  <si>
    <t>JNT Car Rental L.L.C</t>
  </si>
  <si>
    <t>Flask and Tumbler Gift Set</t>
  </si>
  <si>
    <t>24-1208</t>
  </si>
  <si>
    <t>Adirondack Architectural Models Industry L.L.C</t>
  </si>
  <si>
    <t>24-1209</t>
  </si>
  <si>
    <t xml:space="preserve">Access cards - 7 names </t>
  </si>
  <si>
    <t>24-1210R1</t>
  </si>
  <si>
    <t xml:space="preserve">Brochure - 3 fold with die cut </t>
  </si>
  <si>
    <t>24-1211</t>
  </si>
  <si>
    <t>Meeting Room Glass branding</t>
  </si>
  <si>
    <t>24-1212</t>
  </si>
  <si>
    <t>EDGE Technical Solution L.L.C</t>
  </si>
  <si>
    <t>Vehicle Branding – Marafek Mobility</t>
  </si>
  <si>
    <t>24-1213</t>
  </si>
  <si>
    <t>Flags (Only flags) L Shape</t>
  </si>
  <si>
    <t>24-1214</t>
  </si>
  <si>
    <t>Cotton Tote Bag - Natural, Water Bottle 750 CC, Pen, PU Notebook</t>
  </si>
  <si>
    <t>24-1215</t>
  </si>
  <si>
    <t>Ceramic Mug, Cotton Tote Bag, Bottle, PU notebook, Metal Pen, Eco Set of Mug, FSC Notebook and Pen</t>
  </si>
  <si>
    <t>25-0001</t>
  </si>
  <si>
    <t>25-0002</t>
  </si>
  <si>
    <t>Secured Medical Direction MEA FZE</t>
  </si>
  <si>
    <t>Poster, Flyer, Business Card, Vinyl mounted</t>
  </si>
  <si>
    <t>25-0003</t>
  </si>
  <si>
    <t xml:space="preserve"> Business Cards - 500 x 3 names</t>
  </si>
  <si>
    <t>25-0004</t>
  </si>
  <si>
    <t>Class World Wide Group</t>
  </si>
  <si>
    <t>Desk Calendar 2025, PU Notebook</t>
  </si>
  <si>
    <t>25-0005</t>
  </si>
  <si>
    <t xml:space="preserve">Wall Calendar </t>
  </si>
  <si>
    <t>25-0006</t>
  </si>
  <si>
    <t>Regent Education</t>
  </si>
  <si>
    <t>Welcome Card</t>
  </si>
  <si>
    <t>25-0007</t>
  </si>
  <si>
    <t>Business Cards - MTA (Mahmoud Ramadan)</t>
  </si>
  <si>
    <t>25-0008</t>
  </si>
  <si>
    <t>Business Cards - Mahmoud Ramadan</t>
  </si>
  <si>
    <t>25-0009</t>
  </si>
  <si>
    <t>25-0010R</t>
  </si>
  <si>
    <t>SuperCad Trading LLC</t>
  </si>
  <si>
    <t>Vehicle branding</t>
  </si>
  <si>
    <t>25-0011</t>
  </si>
  <si>
    <t>Posters, Glass branding, Posters</t>
  </si>
  <si>
    <t>25-0012</t>
  </si>
  <si>
    <t>Tipsy Balancing Bottle Opener</t>
  </si>
  <si>
    <t>25-0013</t>
  </si>
  <si>
    <t>Customized Lanyard</t>
  </si>
  <si>
    <t>25-0014</t>
  </si>
  <si>
    <t>Carbon Copy Book - Isolation Permit</t>
  </si>
  <si>
    <t>25-0015</t>
  </si>
  <si>
    <t xml:space="preserve">Access cards </t>
  </si>
  <si>
    <t>25-0016R</t>
  </si>
  <si>
    <t>Tumuh Tissue Paper Factory</t>
  </si>
  <si>
    <t>Plastic Pen (white)</t>
  </si>
  <si>
    <t>25-0017</t>
  </si>
  <si>
    <t>iPhone covers</t>
  </si>
  <si>
    <t>25-0018</t>
  </si>
  <si>
    <t>North Telecom LLC</t>
  </si>
  <si>
    <t xml:space="preserve">Bonus Cheque </t>
  </si>
  <si>
    <t>25-0019</t>
  </si>
  <si>
    <t>Paragon Properties</t>
  </si>
  <si>
    <t>Signage with frames</t>
  </si>
  <si>
    <t>25-0020</t>
  </si>
  <si>
    <t>Desk calendar 2025, Test Date cards, Test date poster</t>
  </si>
  <si>
    <t>25-0021</t>
  </si>
  <si>
    <t>Business Cards (Jatin Gupta)</t>
  </si>
  <si>
    <t>25-0022</t>
  </si>
  <si>
    <t>25-0023R</t>
  </si>
  <si>
    <t>Water bottle and Insulated Mug - Black</t>
  </si>
  <si>
    <t>25-0024</t>
  </si>
  <si>
    <t>IBM Global Middle East FZE</t>
  </si>
  <si>
    <t>25-0025</t>
  </si>
  <si>
    <t xml:space="preserve">Square1 </t>
  </si>
  <si>
    <t>Passport CaseE – Elegant RFID Passport Holder, Passport Holder</t>
  </si>
  <si>
    <t>25-0026R</t>
  </si>
  <si>
    <t xml:space="preserve">Vehicle Branding (2 Doors) </t>
  </si>
  <si>
    <t>25-0027R</t>
  </si>
  <si>
    <t>Elmech General Trading LLC</t>
  </si>
  <si>
    <t xml:space="preserve">Lanyards (customized) + PVC cards </t>
  </si>
  <si>
    <t>25-0028</t>
  </si>
  <si>
    <t>Customised Pins</t>
  </si>
  <si>
    <t>25-0029R</t>
  </si>
  <si>
    <t xml:space="preserve">NoteBook, Tote bag, Burj Khalifa Memento, Lanyards (customized) + PVC cards, Ceramic Mug with Cork and Lid - White, Dates in individual packs, Award Certificate  </t>
  </si>
  <si>
    <t>25-0030</t>
  </si>
  <si>
    <t>VVS celebrations</t>
  </si>
  <si>
    <t>Round Neck Tshirts, Polo Shirts</t>
  </si>
  <si>
    <t>25-0031</t>
  </si>
  <si>
    <t>Interior Branding, Supply and printing of banner, Supply and printing of fabric on wall</t>
  </si>
  <si>
    <t>25-0032</t>
  </si>
  <si>
    <t>BLS LAD Chartered Accountants LLC</t>
  </si>
  <si>
    <t>25-0033</t>
  </si>
  <si>
    <t>Event - 24-Jan-25, Existing Backdrop skin change,  Printing of Banner curtain</t>
  </si>
  <si>
    <t>25-0034</t>
  </si>
  <si>
    <t>25-0035R</t>
  </si>
  <si>
    <t>GRS-Certified Recycled RPET Backpack</t>
  </si>
  <si>
    <t>25-0036</t>
  </si>
  <si>
    <t>Business cards - Thermo king</t>
  </si>
  <si>
    <t>25-0037R</t>
  </si>
  <si>
    <t>AYN Capital</t>
  </si>
  <si>
    <t>25-0038</t>
  </si>
  <si>
    <t xml:space="preserve">Trane Technologies </t>
  </si>
  <si>
    <t xml:space="preserve"> Business Cards (Sangeetha Surianarayanan)</t>
  </si>
  <si>
    <t>25-0039R</t>
  </si>
  <si>
    <t xml:space="preserve">Business card (only designing) and Poster </t>
  </si>
  <si>
    <t>25-0040R</t>
  </si>
  <si>
    <t xml:space="preserve">Conference Room Names - 7th Floor and Clear sticker poster </t>
  </si>
  <si>
    <t>25-0041</t>
  </si>
  <si>
    <t xml:space="preserve">Huron University </t>
  </si>
  <si>
    <t>Brochure - Huron University, Canada</t>
  </si>
  <si>
    <t>25-0042R</t>
  </si>
  <si>
    <t xml:space="preserve">Voucher Book and Metal badge  - LEMON Pin Badges </t>
  </si>
  <si>
    <t>25-0043R</t>
  </si>
  <si>
    <t>25-0044R3</t>
  </si>
  <si>
    <t>Snap Ark</t>
  </si>
  <si>
    <t>Event 18 Feb</t>
  </si>
  <si>
    <t>25-0045R</t>
  </si>
  <si>
    <t xml:space="preserve">Flyer, Student course guide, Eco-neutral A5 Cork Fabric Hard Cover Notebook and Pen Set - Red  </t>
  </si>
  <si>
    <t>25-0046</t>
  </si>
  <si>
    <t xml:space="preserve">Business cards 300 x 1 name (Ayoub Ramram) </t>
  </si>
  <si>
    <t>25-0047</t>
  </si>
  <si>
    <t xml:space="preserve">Paper bags </t>
  </si>
  <si>
    <t>25-0048R1</t>
  </si>
  <si>
    <t>25-0049</t>
  </si>
  <si>
    <t>Business Cards '( Remy Moussa )</t>
  </si>
  <si>
    <t>25-0050</t>
  </si>
  <si>
    <t xml:space="preserve">George Brown College </t>
  </si>
  <si>
    <t>Brochure and Flyer</t>
  </si>
  <si>
    <t>25-0051</t>
  </si>
  <si>
    <t>Chair cover - Baboon VC (Customized)</t>
  </si>
  <si>
    <t>25-0052</t>
  </si>
  <si>
    <t>One World One Network</t>
  </si>
  <si>
    <t xml:space="preserve">A5 Notebook, Multi Charger Cable Set, #1WN in 3D acylic with base, Flags with stand, Twin flag - desktop flag, Trophy (Crystal)  </t>
  </si>
  <si>
    <t>25-0053</t>
  </si>
  <si>
    <t>25-0054</t>
  </si>
  <si>
    <t>Business Cards (200 x 18 names)</t>
  </si>
  <si>
    <t>25-0055</t>
  </si>
  <si>
    <t>Business cards  (Mohamed Bamatrf)</t>
  </si>
  <si>
    <t>25-0056</t>
  </si>
  <si>
    <t>Business cards - Thermo king  (Peter Meroi)</t>
  </si>
  <si>
    <t>25-0057R1</t>
  </si>
  <si>
    <t>Designing charges and  Company Brochure</t>
  </si>
  <si>
    <t>25-0058</t>
  </si>
  <si>
    <t>Winner Card with Envelope</t>
  </si>
  <si>
    <t>25-0059</t>
  </si>
  <si>
    <t>Business Cards ( George David )</t>
  </si>
  <si>
    <t>25-0060</t>
  </si>
  <si>
    <t>Miss Shivani</t>
  </si>
  <si>
    <t>Canvas on wooden frame</t>
  </si>
  <si>
    <t>25-0061</t>
  </si>
  <si>
    <t>25-0062</t>
  </si>
  <si>
    <t>25-0063</t>
  </si>
  <si>
    <t>Ms Ludmilla Quirin</t>
  </si>
  <si>
    <t>Glass Bottle,  Coffee Cups, Pen and notebook</t>
  </si>
  <si>
    <t>25-0064</t>
  </si>
  <si>
    <t>ROADSHOW - 26-JAN-25, GRAND HYATT - DUBAI</t>
  </si>
  <si>
    <t>25-0065</t>
  </si>
  <si>
    <t>ROADSHOW - 25-JAN-25, INTERCONTINENTAL, ABU DHABI</t>
  </si>
  <si>
    <t>25-0067</t>
  </si>
  <si>
    <t>ROADSHOW - 25/26-JAN-25,DUBAI &amp; ABU DHABI</t>
  </si>
  <si>
    <t>25-0068R</t>
  </si>
  <si>
    <t>lanyards, Trophy, water bottle and Mobile Phone Holder Strap</t>
  </si>
  <si>
    <t>25-0069R</t>
  </si>
  <si>
    <t>GrokGlobal Services (McMaster)</t>
  </si>
  <si>
    <t xml:space="preserve">Gift Box, Soft Toy and Jute Bag </t>
  </si>
  <si>
    <t>25-0070</t>
  </si>
  <si>
    <t>Business Card  (Abdul Monem Hassan)</t>
  </si>
  <si>
    <t>25-0071</t>
  </si>
  <si>
    <t>25-0072</t>
  </si>
  <si>
    <t>25-0073</t>
  </si>
  <si>
    <t>25-0074</t>
  </si>
  <si>
    <t>Paragon Vinyl stickers</t>
  </si>
  <si>
    <t>25-0075</t>
  </si>
  <si>
    <t>Prazi Medical and Surgical Devices Manufacturing L.L.C</t>
  </si>
  <si>
    <t>25-0076</t>
  </si>
  <si>
    <t>Al Suhail Ship Maintenance Services LLC</t>
  </si>
  <si>
    <t>Business cards (100 x 3), Gate fold brochure</t>
  </si>
  <si>
    <t>25-0077R</t>
  </si>
  <si>
    <t>Business cards (Yulia Kofman)</t>
  </si>
  <si>
    <t>25-0078</t>
  </si>
  <si>
    <t>25-0079</t>
  </si>
  <si>
    <t>Hoodies (Premium)</t>
  </si>
  <si>
    <t>25-0080</t>
  </si>
  <si>
    <t xml:space="preserve">Jute Bag, t shirts, water bottle </t>
  </si>
  <si>
    <t>25-0081R1</t>
  </si>
  <si>
    <t xml:space="preserve">Wristband, Headband, Draw string Bag and Hand Towel </t>
  </si>
  <si>
    <t>25-0082</t>
  </si>
  <si>
    <t>Bag</t>
  </si>
  <si>
    <t>25-0083</t>
  </si>
  <si>
    <t>25-0084</t>
  </si>
  <si>
    <t>25-0085</t>
  </si>
  <si>
    <t>Business Card (100 x 2 names)</t>
  </si>
  <si>
    <t>25-0086</t>
  </si>
  <si>
    <t>Business cards - Thermo king (Walid Sellami)</t>
  </si>
  <si>
    <t>25-0087</t>
  </si>
  <si>
    <t>T shirts, Hoodies and Sweatshirts</t>
  </si>
  <si>
    <t>25-0088</t>
  </si>
  <si>
    <t>Poster with frame</t>
  </si>
  <si>
    <t>25-0089</t>
  </si>
  <si>
    <t>LED SCREEN QUOTATION</t>
  </si>
  <si>
    <t>25-0090</t>
  </si>
  <si>
    <t>Notebooks - NB40</t>
  </si>
  <si>
    <t>25-0091</t>
  </si>
  <si>
    <t>Business Crad (500 x 3 names)</t>
  </si>
  <si>
    <t>25-0092</t>
  </si>
  <si>
    <t>Federal bank</t>
  </si>
  <si>
    <t>Lapel Pin</t>
  </si>
  <si>
    <t>25-0093</t>
  </si>
  <si>
    <t>Certificates and Recognition Pin</t>
  </si>
  <si>
    <t>25-0094R</t>
  </si>
  <si>
    <t>Pennant flags</t>
  </si>
  <si>
    <t>25-0095</t>
  </si>
  <si>
    <t>Business Cards  ( George David and Mohamed Ali Ezzat )</t>
  </si>
  <si>
    <t>25-0096</t>
  </si>
  <si>
    <t xml:space="preserve">Mc Master Jute Bags </t>
  </si>
  <si>
    <t>25-0097</t>
  </si>
  <si>
    <t>Metal Keychains and Plastic pen</t>
  </si>
  <si>
    <t>25-0098</t>
  </si>
  <si>
    <t>Ario Arteh Design Services Co. LLC</t>
  </si>
  <si>
    <t>25-0099</t>
  </si>
  <si>
    <t>Mark John</t>
  </si>
  <si>
    <t>Coin (Gold plated)</t>
  </si>
  <si>
    <t>25-0100</t>
  </si>
  <si>
    <t>UV Stickers</t>
  </si>
  <si>
    <t>25-0101R1</t>
  </si>
  <si>
    <t>25-0102R</t>
  </si>
  <si>
    <t>Polo Shirt (Customized), Pen, Mug, Umbrella, Paper bags, Notebook, Bluetooth , Backpack</t>
  </si>
  <si>
    <t>25-0103</t>
  </si>
  <si>
    <t>A4 Envelope and A5 Envelope</t>
  </si>
  <si>
    <t>25-0104</t>
  </si>
  <si>
    <t>Global Hardware and Tools LLC</t>
  </si>
  <si>
    <t xml:space="preserve">Gift Box and G42 Gift Box </t>
  </si>
  <si>
    <t>25-0105R2</t>
  </si>
  <si>
    <t>25-0106R</t>
  </si>
  <si>
    <t>Gift Box, Trophy, lanyards and Rollup</t>
  </si>
  <si>
    <t>25-0107</t>
  </si>
  <si>
    <t>Instagram Frame</t>
  </si>
  <si>
    <t>25-0108R2</t>
  </si>
  <si>
    <t>Stanford Marine Group</t>
  </si>
  <si>
    <t xml:space="preserve">Lapel Pin </t>
  </si>
  <si>
    <t>25-0109</t>
  </si>
  <si>
    <t>25-0110R</t>
  </si>
  <si>
    <t>Booth Branding - Boat Show - 18th Feb</t>
  </si>
  <si>
    <t>25-0111</t>
  </si>
  <si>
    <t>Flyer (Russian info fact sheet)</t>
  </si>
  <si>
    <t>25-0112</t>
  </si>
  <si>
    <t>Gold Camellia</t>
  </si>
  <si>
    <t>25-0113</t>
  </si>
  <si>
    <t>25-0114</t>
  </si>
  <si>
    <t xml:space="preserve">Mr. Krish Uniyal </t>
  </si>
  <si>
    <t xml:space="preserve">TANISHQ SHOWROOM INAUGURATON - SHARJAH </t>
  </si>
  <si>
    <t>25-0115</t>
  </si>
  <si>
    <t xml:space="preserve">GrokGlobal Services </t>
  </si>
  <si>
    <t xml:space="preserve">Teddy Bear Plush Toy (EN71 tested) </t>
  </si>
  <si>
    <t>25-0116</t>
  </si>
  <si>
    <t>DEAKIN University</t>
  </si>
  <si>
    <t>RPET Electronics Organizer, Anti-theft Backpack in rPET material Navy Blue and  Square Bamboo Case</t>
  </si>
  <si>
    <t>25-0117R2</t>
  </si>
  <si>
    <t>Crystal Trophy and Certificate</t>
  </si>
  <si>
    <t>25-0118R</t>
  </si>
  <si>
    <t>Duplast Building Material Trading LLC</t>
  </si>
  <si>
    <t xml:space="preserve">Organizer Closure With Plate </t>
  </si>
  <si>
    <t>25-0119</t>
  </si>
  <si>
    <t>Bahaa</t>
  </si>
  <si>
    <t>Business Card, Paper bag, Greeting Card, Envelope and Wrapping Paper, Small round sticker</t>
  </si>
  <si>
    <t>25-0120</t>
  </si>
  <si>
    <t>Letterhead - Pecunia</t>
  </si>
  <si>
    <t>25-0121</t>
  </si>
  <si>
    <t>Al Tayer Insignia LLC</t>
  </si>
  <si>
    <t>Log Book</t>
  </si>
  <si>
    <t>SREERAJ</t>
  </si>
  <si>
    <t>25-0122</t>
  </si>
  <si>
    <t xml:space="preserve">Ceramic Mug </t>
  </si>
  <si>
    <t>25-0123</t>
  </si>
  <si>
    <t>25-0124</t>
  </si>
  <si>
    <t>25-0125</t>
  </si>
  <si>
    <t>25-0126R</t>
  </si>
  <si>
    <t xml:space="preserve">Rubber Stamp  (Self Ink) </t>
  </si>
  <si>
    <t>25-0127</t>
  </si>
  <si>
    <t>VOXTEL COMMUNICATIONS DMCC</t>
  </si>
  <si>
    <t>Business Card 250 x 5 names</t>
  </si>
  <si>
    <t>25-0128</t>
  </si>
  <si>
    <t>Flyer and A3 Rollup</t>
  </si>
  <si>
    <t>25-0129</t>
  </si>
  <si>
    <t>25-0130</t>
  </si>
  <si>
    <t>Backdrop Banner, Red Carpet, Transportation</t>
  </si>
  <si>
    <t>25-0131</t>
  </si>
  <si>
    <t>English AlQalmoun (Rollup, Posters and certificate)</t>
  </si>
  <si>
    <t>25-0132</t>
  </si>
  <si>
    <t>Spiral Notebook and metal pen</t>
  </si>
  <si>
    <t>25-0133</t>
  </si>
  <si>
    <t>Olympus MEA FZ-LLC</t>
  </si>
  <si>
    <t>Table Cloth, Notepad, Flag, Pen, Lanyard and holder</t>
  </si>
  <si>
    <t>25-0134</t>
  </si>
  <si>
    <t>Business Cards (500 x 2 name)</t>
  </si>
  <si>
    <t>25-0135R</t>
  </si>
  <si>
    <t xml:space="preserve">Notebook </t>
  </si>
  <si>
    <t>25-0136</t>
  </si>
  <si>
    <t>Designing charges for brochures</t>
  </si>
  <si>
    <t>25-0137R</t>
  </si>
  <si>
    <t>Beside FZE</t>
  </si>
  <si>
    <t>Scented Candles in Glass Bottle</t>
  </si>
  <si>
    <t>25-0138</t>
  </si>
  <si>
    <t>IT WORKS SOLUTIONS LLC</t>
  </si>
  <si>
    <t>Ceramic Mug</t>
  </si>
  <si>
    <t>25-0139R2</t>
  </si>
  <si>
    <t>Emirates of Universal Tyres L.L.C</t>
  </si>
  <si>
    <t>Tent Cards, Leaflet, NCR Books, Continental Brochures-Prospectus, Bag, Book , Bottle, Pen and stamp</t>
  </si>
  <si>
    <t>25-0140R1</t>
  </si>
  <si>
    <t>Mohamed Abdulrahman Al-Bahar LLC</t>
  </si>
  <si>
    <t xml:space="preserve">A4 Certificate Holder,Cap </t>
  </si>
  <si>
    <t>25-0141</t>
  </si>
  <si>
    <t>Curvetop flag, Backdrop banner, Lanyard and lapel pin</t>
  </si>
  <si>
    <t>25-0142</t>
  </si>
  <si>
    <t>25-0143</t>
  </si>
  <si>
    <t>Magic Color Interior Decoration LLC</t>
  </si>
  <si>
    <t>25-0144</t>
  </si>
  <si>
    <t>Tulipa Landscaping LLC</t>
  </si>
  <si>
    <t>SS metal Plate</t>
  </si>
  <si>
    <t>25-0145</t>
  </si>
  <si>
    <t>Divi Digital Co LLC</t>
  </si>
  <si>
    <t>Premium Texture Knit Polo Shirt</t>
  </si>
  <si>
    <t>25-0146</t>
  </si>
  <si>
    <t>25-0147R</t>
  </si>
  <si>
    <t>Teddy Bear, lapel pin, Mug, Box, paper cups</t>
  </si>
  <si>
    <t>25-0148</t>
  </si>
  <si>
    <t>25-0149</t>
  </si>
  <si>
    <t>Business Card  (Nael Awad)</t>
  </si>
  <si>
    <t>25-0150</t>
  </si>
  <si>
    <t>Vehicle Branding (Model: Coaster Bus)</t>
  </si>
  <si>
    <t>25-0151</t>
  </si>
  <si>
    <t>Vehicle Branding (Model : Hyundai H1)</t>
  </si>
  <si>
    <t>25-0152</t>
  </si>
  <si>
    <t>White Mug</t>
  </si>
  <si>
    <t>25-0153</t>
  </si>
  <si>
    <t>Modern Vending Machine L.L.C</t>
  </si>
  <si>
    <t>Vending Machine branding</t>
  </si>
  <si>
    <t>25-0154</t>
  </si>
  <si>
    <t>25-0155R1</t>
  </si>
  <si>
    <t>Balloons (Helium) and Gift Box, PVC Sticker</t>
  </si>
  <si>
    <t>25-0156R</t>
  </si>
  <si>
    <t>25-0157</t>
  </si>
  <si>
    <t>Round neck Tshirts and  Polo Shirts</t>
  </si>
  <si>
    <t>OPEN</t>
  </si>
  <si>
    <t>25-0158</t>
  </si>
  <si>
    <t>25-0159</t>
  </si>
  <si>
    <t>Short sleeve</t>
  </si>
  <si>
    <t>25-0160</t>
  </si>
  <si>
    <r>
      <t>Ramdan Gift Box (</t>
    </r>
    <r>
      <rPr>
        <b/>
        <sz val="11"/>
        <color theme="1"/>
        <rFont val="Aptos Narrow"/>
        <family val="2"/>
        <scheme val="minor"/>
      </rPr>
      <t>SH 23, SH 24, SH 25</t>
    </r>
    <r>
      <rPr>
        <sz val="11"/>
        <color theme="1"/>
        <rFont val="Aptos Narrow"/>
        <family val="2"/>
        <scheme val="minor"/>
      </rPr>
      <t>)</t>
    </r>
  </si>
  <si>
    <t>25-0161</t>
  </si>
  <si>
    <t>Dejem Group</t>
  </si>
  <si>
    <t>Presentation items</t>
  </si>
  <si>
    <t>25-0162</t>
  </si>
  <si>
    <t>Mr. Yug</t>
  </si>
  <si>
    <t>Tilda Flip Box</t>
  </si>
  <si>
    <t>25-0163</t>
  </si>
  <si>
    <t>Google Review Tabletop Stand</t>
  </si>
  <si>
    <t>25-0164</t>
  </si>
  <si>
    <t>25-0165R</t>
  </si>
  <si>
    <t>Safety Shoes and cargo pants</t>
  </si>
  <si>
    <t>25-0166</t>
  </si>
  <si>
    <t>25-0167</t>
  </si>
  <si>
    <t>Key on foamboard</t>
  </si>
  <si>
    <t>25-0168</t>
  </si>
  <si>
    <t>Business Card  ( Essam Soliman )</t>
  </si>
  <si>
    <t>25-0169</t>
  </si>
  <si>
    <t>Ceramic mug with cork base</t>
  </si>
  <si>
    <t>25-0170</t>
  </si>
  <si>
    <t>Alef Education</t>
  </si>
  <si>
    <t>Polo Shirt and Formal Pant</t>
  </si>
  <si>
    <t>25-0171</t>
  </si>
  <si>
    <t>StyFect Curtains and Blinds</t>
  </si>
  <si>
    <t>25-0172R</t>
  </si>
  <si>
    <t>Formal Executive Shirt</t>
  </si>
  <si>
    <t>25-0173R</t>
  </si>
  <si>
    <t>Ramadan Lantern</t>
  </si>
  <si>
    <t>25-0174</t>
  </si>
  <si>
    <t xml:space="preserve">Notebooks - 2025-26 </t>
  </si>
  <si>
    <t>25-0175</t>
  </si>
  <si>
    <t xml:space="preserve">DEAKIN University </t>
  </si>
  <si>
    <t>Certificates, Name Card and Post Cards</t>
  </si>
  <si>
    <t>25-0176</t>
  </si>
  <si>
    <t>25-0177R3</t>
  </si>
  <si>
    <t>Voucher Book and non woven bag</t>
  </si>
  <si>
    <t>25-0178</t>
  </si>
  <si>
    <t>25-0179</t>
  </si>
  <si>
    <t>Flip Box - Ramadan</t>
  </si>
  <si>
    <t>25-0180</t>
  </si>
  <si>
    <t>Awards</t>
  </si>
  <si>
    <t>25-0181</t>
  </si>
  <si>
    <t>Business Cards  (Mohammad Alhaymoni)</t>
  </si>
  <si>
    <t>25-0182R1</t>
  </si>
  <si>
    <t>Stainless Steel Lunch Box and  Electric Lunch Box</t>
  </si>
  <si>
    <t>25-0183R</t>
  </si>
  <si>
    <t>Customized trophy</t>
  </si>
  <si>
    <t>25-0184</t>
  </si>
  <si>
    <t>25-0185</t>
  </si>
  <si>
    <t>A4 Paper Bag (Horizontal)</t>
  </si>
  <si>
    <t>25-0186</t>
  </si>
  <si>
    <t>Sticker - Continental Logo</t>
  </si>
  <si>
    <t>25-0187R</t>
  </si>
  <si>
    <t xml:space="preserve">Door Signage </t>
  </si>
  <si>
    <t>25-0188R</t>
  </si>
  <si>
    <t>A4 Envelope and Kraft Paper Bag</t>
  </si>
  <si>
    <t>25-0189R</t>
  </si>
  <si>
    <t>Spiral Notebook (Left side)</t>
  </si>
  <si>
    <t>25-0190R</t>
  </si>
  <si>
    <t>25-0191</t>
  </si>
  <si>
    <t>Business cards  (Mohamad Agha)</t>
  </si>
  <si>
    <t>25-0192</t>
  </si>
  <si>
    <t>Polo shirt (Adult)</t>
  </si>
  <si>
    <t>25-0193R</t>
  </si>
  <si>
    <t>Mr. Akhil (BNI Glory)</t>
  </si>
  <si>
    <t>Lanyard (customized)</t>
  </si>
  <si>
    <t>25-0194</t>
  </si>
  <si>
    <t>Name Plate</t>
  </si>
  <si>
    <t>25-0195</t>
  </si>
  <si>
    <t>Ranjitha</t>
  </si>
  <si>
    <t>Wooden Cube</t>
  </si>
  <si>
    <t>25-0196</t>
  </si>
  <si>
    <t xml:space="preserve">Wooden Backdrop </t>
  </si>
  <si>
    <t>25-0197</t>
  </si>
  <si>
    <t>Gown and Cap</t>
  </si>
  <si>
    <t>25-0198</t>
  </si>
  <si>
    <t>Paper Cups (Double Wall)</t>
  </si>
  <si>
    <t>25-0199R</t>
  </si>
  <si>
    <t>Acrylic Trophy (Customized)</t>
  </si>
  <si>
    <t>25-0200</t>
  </si>
  <si>
    <t>People Perfect Worldwide</t>
  </si>
  <si>
    <t>Drawer Box with Red Ribbon</t>
  </si>
  <si>
    <t>25-0201R</t>
  </si>
  <si>
    <t>25-0202</t>
  </si>
  <si>
    <t xml:space="preserve">Pinkey Mahensaria </t>
  </si>
  <si>
    <t>Note Book (Customized) and Pen with Pouches</t>
  </si>
  <si>
    <t>25-0203</t>
  </si>
  <si>
    <t>25-0204</t>
  </si>
  <si>
    <t>Travel Wallet in Genuine Leather</t>
  </si>
  <si>
    <t>25-0205</t>
  </si>
  <si>
    <t>ENH Media &amp; Communications LLC</t>
  </si>
  <si>
    <t>Cable Kit</t>
  </si>
  <si>
    <t>25-0206</t>
  </si>
  <si>
    <t>Business cards and Brochure</t>
  </si>
  <si>
    <t>25-0207R</t>
  </si>
  <si>
    <t>25-0208R1</t>
  </si>
  <si>
    <t>M E A D Medical Supplies &amp; Equipment L.L.C</t>
  </si>
  <si>
    <t>NCR Book (Service Report Book)</t>
  </si>
  <si>
    <t>25-0209R</t>
  </si>
  <si>
    <t>Swiss Business Council (DMCC Branch)</t>
  </si>
  <si>
    <t>Booklets</t>
  </si>
  <si>
    <t>25-0210</t>
  </si>
  <si>
    <t>The Banyan Advertising</t>
  </si>
  <si>
    <t xml:space="preserve">Safety Vest </t>
  </si>
  <si>
    <t>25-0211</t>
  </si>
  <si>
    <t>Bloomsbury Lane</t>
  </si>
  <si>
    <t>Outdoor Signage – Light box with flex</t>
  </si>
  <si>
    <t>25-0212</t>
  </si>
  <si>
    <t>INSYNC INTERNATIONAL L.L.C</t>
  </si>
  <si>
    <t>25-0213</t>
  </si>
  <si>
    <t>Velcro Popup Backdrop</t>
  </si>
  <si>
    <t>25-0214R</t>
  </si>
  <si>
    <t>Metal USB</t>
  </si>
  <si>
    <t>25-0215</t>
  </si>
  <si>
    <t>25-0216R</t>
  </si>
  <si>
    <t>Ms. Ankita</t>
  </si>
  <si>
    <t>25-0217R</t>
  </si>
  <si>
    <r>
      <t xml:space="preserve">Business cards </t>
    </r>
    <r>
      <rPr>
        <b/>
        <sz val="11"/>
        <color theme="1"/>
        <rFont val="Aptos Narrow"/>
        <family val="2"/>
        <scheme val="minor"/>
      </rPr>
      <t>(Rahul Unnikrishnan) (Basmah Al-Khawaja)</t>
    </r>
  </si>
  <si>
    <t>25-0218</t>
  </si>
  <si>
    <t>Ms. Leena BNI</t>
  </si>
  <si>
    <t xml:space="preserve">Leather Notebook with Pocket </t>
  </si>
  <si>
    <t>25-0219</t>
  </si>
  <si>
    <t>BNI Glory</t>
  </si>
  <si>
    <t>Crystal Awards</t>
  </si>
  <si>
    <t>25-0220</t>
  </si>
  <si>
    <t>Business cards  (Leena Wanganoo )</t>
  </si>
  <si>
    <t>25-0221R</t>
  </si>
  <si>
    <t xml:space="preserve">Vehicle Branding </t>
  </si>
  <si>
    <t>25-0222</t>
  </si>
  <si>
    <t>25-0223</t>
  </si>
  <si>
    <t>BNI Polaris</t>
  </si>
  <si>
    <t>25-0224R</t>
  </si>
  <si>
    <t>NCR Books</t>
  </si>
  <si>
    <t>25-0225</t>
  </si>
  <si>
    <t>25-0226</t>
  </si>
  <si>
    <t>Bluetooth Speaker and Bottle</t>
  </si>
  <si>
    <t>25-0227</t>
  </si>
  <si>
    <t>Church Event</t>
  </si>
  <si>
    <t>25-0228</t>
  </si>
  <si>
    <t>Full-sleeve Shirts and Cargo Pants</t>
  </si>
  <si>
    <t>25-0229R</t>
  </si>
  <si>
    <t>Envelopes (Customized)</t>
  </si>
  <si>
    <t>25-0230</t>
  </si>
  <si>
    <t>25-0231</t>
  </si>
  <si>
    <t>Ennovate Integrated Technologies LLC</t>
  </si>
  <si>
    <t>25-0232</t>
  </si>
  <si>
    <t xml:space="preserve"> MSB Private School</t>
  </si>
  <si>
    <t>25-0233R</t>
  </si>
  <si>
    <t>Perfect Tools Moulds Factory L.L.C</t>
  </si>
  <si>
    <t>Invoice Paper</t>
  </si>
  <si>
    <t>25-0234</t>
  </si>
  <si>
    <t>Polo Shirts and T-shirts (Men and Women)</t>
  </si>
  <si>
    <t>25-0235</t>
  </si>
  <si>
    <t>Clear Sticker</t>
  </si>
  <si>
    <t>25-0236</t>
  </si>
  <si>
    <t>25-0237</t>
  </si>
  <si>
    <t>cap, Bag, Bottle, lanyard and T shirt</t>
  </si>
  <si>
    <t>25-0238</t>
  </si>
  <si>
    <t>Fijuthin K Sea Route Shipping</t>
  </si>
  <si>
    <t xml:space="preserve">A4 Sticker </t>
  </si>
  <si>
    <t>25-0239</t>
  </si>
  <si>
    <t>Students Guide</t>
  </si>
  <si>
    <t>25-0240</t>
  </si>
  <si>
    <t xml:space="preserve">TESOL Arabia Exhibition and USA Premium Counselling Service </t>
  </si>
  <si>
    <t>25-0241R</t>
  </si>
  <si>
    <t>Quilted Jacket with Zipper Closure</t>
  </si>
  <si>
    <t>25-0242</t>
  </si>
  <si>
    <t>Mawarid Finance</t>
  </si>
  <si>
    <t>NFC Card, Flag, Flyer, A5 card</t>
  </si>
  <si>
    <t>25-0243</t>
  </si>
  <si>
    <t>Trolley Bags</t>
  </si>
  <si>
    <t>25-0244R</t>
  </si>
  <si>
    <t>25-0245R</t>
  </si>
  <si>
    <t>Cotton Bag, Woven Bag, String Bag</t>
  </si>
  <si>
    <t>25-0246</t>
  </si>
  <si>
    <t>25-0247</t>
  </si>
  <si>
    <t>Square Crystal Awards With Wooden Base</t>
  </si>
  <si>
    <t>25-0248R1</t>
  </si>
  <si>
    <t>25-0249</t>
  </si>
  <si>
    <t>25-0250</t>
  </si>
  <si>
    <t xml:space="preserve"> Branding for customer provided T-shirt</t>
  </si>
  <si>
    <t>25-0251R</t>
  </si>
  <si>
    <t>25-0252</t>
  </si>
  <si>
    <t>Tea Coaster</t>
  </si>
  <si>
    <t>25-0253</t>
  </si>
  <si>
    <t>Souvenir</t>
  </si>
  <si>
    <t>25-0254</t>
  </si>
  <si>
    <t>Maven</t>
  </si>
  <si>
    <t>Keychain</t>
  </si>
  <si>
    <t>25-0255R</t>
  </si>
  <si>
    <t xml:space="preserve">Trophy, Prints, Winner's Cheque, Rollup (Standard), Finger food package </t>
  </si>
  <si>
    <t>25-0256</t>
  </si>
  <si>
    <t>Business cards (300 x 3 names)</t>
  </si>
  <si>
    <t>25-0257</t>
  </si>
  <si>
    <t>Natures Tea and chocolate factory LLC</t>
  </si>
  <si>
    <t xml:space="preserve"> Vehicle Branding-HIACE Highroof</t>
  </si>
  <si>
    <t>25-0258</t>
  </si>
  <si>
    <t>Tote Bag, A4 Flyers,  Lanyards (customized) and Metal Pen</t>
  </si>
  <si>
    <t>25-0259</t>
  </si>
  <si>
    <t xml:space="preserve"> Warehouse Delivery Note</t>
  </si>
  <si>
    <t>25-0260</t>
  </si>
  <si>
    <t>Guardian International Trading LLC</t>
  </si>
  <si>
    <t>Designing Product Catalogue</t>
  </si>
  <si>
    <t>25-0261R</t>
  </si>
  <si>
    <t>25-0262</t>
  </si>
  <si>
    <t>Spacelab International Tading LLC</t>
  </si>
  <si>
    <t xml:space="preserve">Fabrication, Supply and Installation of Indoor Signages </t>
  </si>
  <si>
    <t>25-0263</t>
  </si>
  <si>
    <t>MANSORY Middle East L.L.C</t>
  </si>
  <si>
    <t>Paper Cups (double Wall)</t>
  </si>
  <si>
    <t>25-0264</t>
  </si>
  <si>
    <t>Onboard Sky Freight Services L.L.C</t>
  </si>
  <si>
    <t>25-0265</t>
  </si>
  <si>
    <t>A4 and DL Envelopes</t>
  </si>
  <si>
    <t>25-0266</t>
  </si>
  <si>
    <t>Reidis Interactive</t>
  </si>
  <si>
    <t>Cotton Caps, Mugs and Perfume</t>
  </si>
  <si>
    <t>25-0267</t>
  </si>
  <si>
    <t>Brochure, Oval shape Keychain and Formal Executive Long sleeve shirts</t>
  </si>
  <si>
    <t>25-0268</t>
  </si>
  <si>
    <t>A4 Notepad (PECUNIA) and Pocket Folder</t>
  </si>
  <si>
    <t>25-0269</t>
  </si>
  <si>
    <t>Tote Bags</t>
  </si>
  <si>
    <t>25-0270</t>
  </si>
  <si>
    <t>Ms. Subhi</t>
  </si>
  <si>
    <t>25-0271</t>
  </si>
  <si>
    <t>Business cards (Bharat Kumar)</t>
  </si>
  <si>
    <t>25-0272R1</t>
  </si>
  <si>
    <t xml:space="preserve">Roll up Banner </t>
  </si>
  <si>
    <t>25-0273</t>
  </si>
  <si>
    <t>25-0274</t>
  </si>
  <si>
    <t xml:space="preserve">Brochure, Flyer and Table top </t>
  </si>
  <si>
    <t>25-0275</t>
  </si>
  <si>
    <t>Cushions covers</t>
  </si>
  <si>
    <t>25-0276</t>
  </si>
  <si>
    <t xml:space="preserve">Giveaway Items </t>
  </si>
  <si>
    <t>25-0277</t>
  </si>
  <si>
    <t xml:space="preserve">Bottles with String Handle, Glass and Bamboo Flask </t>
  </si>
  <si>
    <t>25-0278</t>
  </si>
  <si>
    <t>Vertex Way Immigration</t>
  </si>
  <si>
    <t>25-0279</t>
  </si>
  <si>
    <t>Carton Box for Bicycle</t>
  </si>
  <si>
    <t>25-0280</t>
  </si>
  <si>
    <t xml:space="preserve">Rollup Banner and Catalogue design </t>
  </si>
  <si>
    <t>25-0281</t>
  </si>
  <si>
    <t>LED light change for Letter K in Ourdoor signage</t>
  </si>
  <si>
    <t>25-0284</t>
  </si>
  <si>
    <t>Trophy 4 pcs</t>
  </si>
  <si>
    <t>25-0285R</t>
  </si>
  <si>
    <t xml:space="preserve">Sleeve for chocolate, Metal Pen and </t>
  </si>
  <si>
    <t>25-0286</t>
  </si>
  <si>
    <t>NCR Books and Stamp</t>
  </si>
  <si>
    <t>25-0287</t>
  </si>
  <si>
    <t>Rental Contract</t>
  </si>
  <si>
    <t>25-0288</t>
  </si>
  <si>
    <t xml:space="preserve">Dallah Trane Manufacturing </t>
  </si>
  <si>
    <t xml:space="preserve">Polo Shirts (Premium), Formal Executive Shirt (long sleeve) and Polo Shirts (Premium) </t>
  </si>
  <si>
    <t>25-0289</t>
  </si>
  <si>
    <t xml:space="preserve">Pencil box (Customized) </t>
  </si>
  <si>
    <t>25-0290</t>
  </si>
  <si>
    <t>25-0291</t>
  </si>
  <si>
    <t>Green Pasture Technical Services LLC</t>
  </si>
  <si>
    <t>25-0292</t>
  </si>
  <si>
    <t>Plotter cut letters Stickers</t>
  </si>
  <si>
    <t>25-0293</t>
  </si>
  <si>
    <t>Square Tissue box cover</t>
  </si>
  <si>
    <t>25-0294</t>
  </si>
  <si>
    <t>Party Pals Forever Events LLC</t>
  </si>
  <si>
    <t xml:space="preserve">Top and bottom self lock box </t>
  </si>
  <si>
    <t>25-0295</t>
  </si>
  <si>
    <t>25-0296</t>
  </si>
  <si>
    <t>Med Flyers</t>
  </si>
  <si>
    <t>25-0297</t>
  </si>
  <si>
    <t>25-0298</t>
  </si>
  <si>
    <t xml:space="preserve">Gamayun Consultancy Services FZE </t>
  </si>
  <si>
    <t>25-0299</t>
  </si>
  <si>
    <t>25-0300</t>
  </si>
  <si>
    <t>25-0301</t>
  </si>
  <si>
    <t>Polo shirt and Iphone cover</t>
  </si>
  <si>
    <t>25-0302</t>
  </si>
  <si>
    <t>PVC clear sticker</t>
  </si>
  <si>
    <t>25-0303</t>
  </si>
  <si>
    <t>25-0304</t>
  </si>
  <si>
    <t>PU wallet</t>
  </si>
  <si>
    <t>25-0305R1</t>
  </si>
  <si>
    <t>Name Badge and Business Card</t>
  </si>
  <si>
    <t>25-0306</t>
  </si>
  <si>
    <t>Digital Business NFC Card</t>
  </si>
  <si>
    <t>25-0307</t>
  </si>
  <si>
    <t xml:space="preserve">Royex Technologies L.L.C </t>
  </si>
  <si>
    <t xml:space="preserve">Booth branding - Dubai </t>
  </si>
  <si>
    <t>25-0308</t>
  </si>
  <si>
    <t>25-0309R</t>
  </si>
  <si>
    <t>Epoxy Badges and Business card</t>
  </si>
  <si>
    <t>25-0310</t>
  </si>
  <si>
    <t>Cable Kit and Gift box</t>
  </si>
  <si>
    <t>25-0311</t>
  </si>
  <si>
    <t xml:space="preserve">Stress ball </t>
  </si>
  <si>
    <t>25-0312</t>
  </si>
  <si>
    <t>Leena thawrani</t>
  </si>
  <si>
    <t>25-0313</t>
  </si>
  <si>
    <t>KPTAC Technologies</t>
  </si>
  <si>
    <t>Wooden Stand and Metal Table top</t>
  </si>
  <si>
    <t>25-0314R</t>
  </si>
  <si>
    <t>Sustainable items</t>
  </si>
  <si>
    <t>25-0315</t>
  </si>
  <si>
    <t>Finhub Middle East</t>
  </si>
  <si>
    <t>Vinyl sticker on glass and Acrylic cut letters</t>
  </si>
  <si>
    <t>25-0316</t>
  </si>
  <si>
    <t>25-0317</t>
  </si>
  <si>
    <t>Pen Holder</t>
  </si>
  <si>
    <t>25-0318</t>
  </si>
  <si>
    <t>Marafek Electromechanical Works LLC</t>
  </si>
  <si>
    <t>Booth branding - BNI EXPO</t>
  </si>
  <si>
    <t>25-0319</t>
  </si>
  <si>
    <t>25-0320</t>
  </si>
  <si>
    <t>Business Card (50 x 11 names)</t>
  </si>
  <si>
    <t>25-0321R</t>
  </si>
  <si>
    <t>25-0322</t>
  </si>
  <si>
    <t>Balloon Pillars, Helioum Balloon and Ribbon</t>
  </si>
  <si>
    <t>25-0323R</t>
  </si>
  <si>
    <t>Coverall, T shirt and Polo shirt</t>
  </si>
  <si>
    <t>25-0324</t>
  </si>
  <si>
    <t>Chocolate box and Sleeve for chocolate</t>
  </si>
  <si>
    <t>25-0325</t>
  </si>
  <si>
    <t xml:space="preserve">Epoxy badge </t>
  </si>
  <si>
    <t>25-0326</t>
  </si>
  <si>
    <t>Dhyana Digitals</t>
  </si>
  <si>
    <t xml:space="preserve">Business Card, Notebook with pen and Table stand </t>
  </si>
  <si>
    <t>25-0327R</t>
  </si>
  <si>
    <t>Ceramic Mug and Metal pen</t>
  </si>
  <si>
    <t>25-0328R1</t>
  </si>
  <si>
    <t>Many Items</t>
  </si>
  <si>
    <t>25-0329</t>
  </si>
  <si>
    <t>25-0330</t>
  </si>
  <si>
    <t>Business card (Admin) (Faiza Qureshi)</t>
  </si>
  <si>
    <t>25-0331</t>
  </si>
  <si>
    <t>Polo Shirt, Long Dress and Business card</t>
  </si>
  <si>
    <t>25-0332</t>
  </si>
  <si>
    <t>Lapel Pins</t>
  </si>
  <si>
    <t>25-0333</t>
  </si>
  <si>
    <t>Samantha</t>
  </si>
  <si>
    <t xml:space="preserve">Curvetop flags </t>
  </si>
  <si>
    <t>25-0334R</t>
  </si>
  <si>
    <t>USB 32 and 64 GB</t>
  </si>
  <si>
    <t>25-0335</t>
  </si>
  <si>
    <t>25-0336</t>
  </si>
  <si>
    <t>Forever Tourism LLC</t>
  </si>
  <si>
    <t>25-0337</t>
  </si>
  <si>
    <t>25-0338R</t>
  </si>
  <si>
    <t>Lanyard, Id card holder, Polo Shirt, Business card, and Flyer, Sticker, Notebook</t>
  </si>
  <si>
    <t>25-0339</t>
  </si>
  <si>
    <t>Winner's Cheque and Rollup</t>
  </si>
  <si>
    <t>25-0340</t>
  </si>
  <si>
    <t>Brand Experts Advertising LLC</t>
  </si>
  <si>
    <t xml:space="preserve">1.5 mm ss Silver Brush Finish </t>
  </si>
  <si>
    <t>25-0341</t>
  </si>
  <si>
    <t>EMBOSS - FZCO</t>
  </si>
  <si>
    <t>Lapel Pin and Branding on glass water bottle</t>
  </si>
  <si>
    <t>25-0342</t>
  </si>
  <si>
    <t>25-0343R</t>
  </si>
  <si>
    <t>Metal badge</t>
  </si>
  <si>
    <t>25-0344R1</t>
  </si>
  <si>
    <t>Quattro Capital</t>
  </si>
  <si>
    <t>Table Flags and Notebook with Metal Pen</t>
  </si>
  <si>
    <t>25-0345</t>
  </si>
  <si>
    <t>Trane Thermo King</t>
  </si>
  <si>
    <t>Crystal Trophy (Customized)</t>
  </si>
  <si>
    <t>25-0346</t>
  </si>
  <si>
    <t>25-0347</t>
  </si>
  <si>
    <t>25-0348</t>
  </si>
  <si>
    <t>25-0349</t>
  </si>
  <si>
    <t>DP Taxation Consultancy Co LLC</t>
  </si>
  <si>
    <t>Rollup Banner and Design charges</t>
  </si>
  <si>
    <t>25-0350</t>
  </si>
  <si>
    <t xml:space="preserve">Snigdha Singh </t>
  </si>
  <si>
    <t>A5 Catalogue (Premium print) and Brochure</t>
  </si>
  <si>
    <t>25-0351</t>
  </si>
  <si>
    <t>Plastic Pen, Mug, Brochure and spiral notebook</t>
  </si>
  <si>
    <t>25-0352R1</t>
  </si>
  <si>
    <t xml:space="preserve">Trolley Bag </t>
  </si>
  <si>
    <t>25-0353</t>
  </si>
  <si>
    <t>25-0354</t>
  </si>
  <si>
    <t>Axis Workshop LLC</t>
  </si>
  <si>
    <t>Estimate Book</t>
  </si>
  <si>
    <t>25-0355</t>
  </si>
  <si>
    <t>25-0356</t>
  </si>
  <si>
    <t>25-0357</t>
  </si>
  <si>
    <t>Mice Media LLC FZ</t>
  </si>
  <si>
    <t>Fire Extinguisher Signage</t>
  </si>
  <si>
    <t>25-0358</t>
  </si>
  <si>
    <t>25-0359</t>
  </si>
  <si>
    <t>25-0360</t>
  </si>
  <si>
    <t>Five Building Material Trading LLC</t>
  </si>
  <si>
    <t>Cork pen</t>
  </si>
  <si>
    <t>25-0361</t>
  </si>
  <si>
    <t>25-0362</t>
  </si>
  <si>
    <t xml:space="preserve">Display Stand, Product Stand, and Helmet Stand </t>
  </si>
  <si>
    <t>25-0363</t>
  </si>
  <si>
    <t>Indoor Branding</t>
  </si>
  <si>
    <t>25-0364</t>
  </si>
  <si>
    <t>Designing charges for enhancement</t>
  </si>
  <si>
    <t>DARSHAN</t>
  </si>
  <si>
    <t>25-0365R</t>
  </si>
  <si>
    <t>Hard Cover Notebook (Customized)</t>
  </si>
  <si>
    <t>25-0366</t>
  </si>
  <si>
    <t>MGME</t>
  </si>
  <si>
    <t xml:space="preserve">Air Cargo Forum 3 - 6 Nov 2025 </t>
  </si>
  <si>
    <t>25-0367</t>
  </si>
  <si>
    <t>25-0368</t>
  </si>
  <si>
    <t>Stationary Items</t>
  </si>
  <si>
    <t>25-0369</t>
  </si>
  <si>
    <t>Mr. Sony Peter</t>
  </si>
  <si>
    <t>Outdoor Signage  1</t>
  </si>
  <si>
    <t>25-0370R2</t>
  </si>
  <si>
    <t xml:space="preserve">Medical kit </t>
  </si>
  <si>
    <t>25-0371R</t>
  </si>
  <si>
    <t>25-0372</t>
  </si>
  <si>
    <t>25-0373</t>
  </si>
  <si>
    <t>Business Card - (Hazem Ali Abdelkarim)</t>
  </si>
  <si>
    <t>25-0374</t>
  </si>
  <si>
    <t>Polo Shirt - Second lot and Pants</t>
  </si>
  <si>
    <t>25-0375</t>
  </si>
  <si>
    <t>A4 sheets, Frame with Certificate Printing</t>
  </si>
  <si>
    <t>25-0376</t>
  </si>
  <si>
    <t>Year Book UIS</t>
  </si>
  <si>
    <t>25-0377</t>
  </si>
  <si>
    <t xml:space="preserve">Folder </t>
  </si>
  <si>
    <t>25-0378</t>
  </si>
  <si>
    <t>25-0379</t>
  </si>
  <si>
    <t>Spiral Notebook and pen</t>
  </si>
  <si>
    <t>25-0380</t>
  </si>
  <si>
    <t>25-0381</t>
  </si>
  <si>
    <t>Inner for the box</t>
  </si>
  <si>
    <t>25-0382</t>
  </si>
  <si>
    <t>Letter prints and Parking Permit</t>
  </si>
  <si>
    <t>25-0383</t>
  </si>
  <si>
    <t>Banner Signboard and Vinyl sticker on outdoor signage</t>
  </si>
  <si>
    <t>25-0384</t>
  </si>
  <si>
    <t>games Flyer</t>
  </si>
  <si>
    <t>25-0385</t>
  </si>
  <si>
    <t>Bathroom Signage</t>
  </si>
  <si>
    <t>25-0386</t>
  </si>
  <si>
    <t>Infocare Systems FZC</t>
  </si>
  <si>
    <t>Safety Vest (Customized)</t>
  </si>
  <si>
    <t>25-0387</t>
  </si>
  <si>
    <t xml:space="preserve"> Desktop Stand (Google and instagram review)</t>
  </si>
  <si>
    <t>25-0388</t>
  </si>
  <si>
    <t>Tote Bag</t>
  </si>
  <si>
    <t>25-0389</t>
  </si>
  <si>
    <t>Business cards and Letterhead</t>
  </si>
  <si>
    <t>25-0390</t>
  </si>
  <si>
    <t>Book, Calendar, Pen, Cap and T shirt</t>
  </si>
  <si>
    <t>25-0391R</t>
  </si>
  <si>
    <t>Wallet, Passport holder, luggage tag and business card</t>
  </si>
  <si>
    <t>25-0392</t>
  </si>
  <si>
    <t>25-0393</t>
  </si>
  <si>
    <t>Business Cards (500 x 4 names)</t>
  </si>
  <si>
    <t>25-0394</t>
  </si>
  <si>
    <t>Genz Stickers</t>
  </si>
  <si>
    <t>25-0395</t>
  </si>
  <si>
    <t>Azal Mandi Restaurant</t>
  </si>
  <si>
    <t>Takeaway Menu (Brochure)</t>
  </si>
  <si>
    <t>25-0396</t>
  </si>
  <si>
    <t>Prescott Impex Trading LLC</t>
  </si>
  <si>
    <t>Designing charges and Website Designing and Development</t>
  </si>
  <si>
    <t>25-0397</t>
  </si>
  <si>
    <t>PU Leather Holder</t>
  </si>
  <si>
    <t>25-0398</t>
  </si>
  <si>
    <t>25-0399</t>
  </si>
  <si>
    <t>25-0400</t>
  </si>
  <si>
    <t>Many items</t>
  </si>
  <si>
    <t>25-0401R</t>
  </si>
  <si>
    <t>25-0402</t>
  </si>
  <si>
    <t>Bone Crepe Chocolate L.L.C</t>
  </si>
  <si>
    <t>Chocolate Box</t>
  </si>
  <si>
    <t>25-0403</t>
  </si>
  <si>
    <t>Premium notebook and pen</t>
  </si>
  <si>
    <t>25-0404</t>
  </si>
  <si>
    <t>Sigma Wealth LLC</t>
  </si>
  <si>
    <t>25-0405</t>
  </si>
  <si>
    <t>Customised trophy and Box</t>
  </si>
  <si>
    <t>25-0406</t>
  </si>
  <si>
    <t>Certificate, Rollup and Poster</t>
  </si>
  <si>
    <t>25-0407</t>
  </si>
  <si>
    <t>25-0408</t>
  </si>
  <si>
    <t>Name Badges, Fridge Magnet and Apron with pocket</t>
  </si>
  <si>
    <t>25-0409</t>
  </si>
  <si>
    <t xml:space="preserve">Coverall FR (customized) </t>
  </si>
  <si>
    <t>25-0410</t>
  </si>
  <si>
    <t>25-0411</t>
  </si>
  <si>
    <t>Board games</t>
  </si>
  <si>
    <t>25-0412</t>
  </si>
  <si>
    <t>Polo shirt (Uniform) -</t>
  </si>
  <si>
    <t>25-0413</t>
  </si>
  <si>
    <t>Passport Holder and Luggage Tag,Tote Bag and Beach Towel</t>
  </si>
  <si>
    <t>25-0414</t>
  </si>
  <si>
    <t>Tie, Wall clock,Card Holder and Mouse Pad</t>
  </si>
  <si>
    <t>25-0415</t>
  </si>
  <si>
    <t>Mr. Rahul</t>
  </si>
  <si>
    <t>25-0416</t>
  </si>
  <si>
    <t>A4 Certificate with frame</t>
  </si>
  <si>
    <t>25-0417</t>
  </si>
  <si>
    <t>Ruchita Pradeep</t>
  </si>
  <si>
    <t>Bottle and Safety Vest</t>
  </si>
  <si>
    <t>25-0418</t>
  </si>
  <si>
    <t>Life jackets and cylinder, Inflator Device</t>
  </si>
  <si>
    <t>25-0419</t>
  </si>
  <si>
    <t>25-0420R</t>
  </si>
  <si>
    <t>25-0421R1</t>
  </si>
  <si>
    <t>Accentia Consulting</t>
  </si>
  <si>
    <t>25-0422R</t>
  </si>
  <si>
    <t>25-0423</t>
  </si>
  <si>
    <t xml:space="preserve">Akura </t>
  </si>
  <si>
    <t>25-0424R</t>
  </si>
  <si>
    <t>Post cards with Box</t>
  </si>
  <si>
    <t>25-0425</t>
  </si>
  <si>
    <t>25-0426</t>
  </si>
  <si>
    <t>25-0427</t>
  </si>
  <si>
    <t>Meenu</t>
  </si>
  <si>
    <t>Masafi Water Bottle + Sticker</t>
  </si>
  <si>
    <t>25-0428</t>
  </si>
  <si>
    <t>GMR Group</t>
  </si>
  <si>
    <t>Jersey</t>
  </si>
  <si>
    <t>25-0429</t>
  </si>
  <si>
    <t>Avant FZ LLC</t>
  </si>
  <si>
    <t>Mouse pod</t>
  </si>
  <si>
    <t>25-0430</t>
  </si>
  <si>
    <t>Gift items</t>
  </si>
  <si>
    <t>25-0431</t>
  </si>
  <si>
    <t>25-0432</t>
  </si>
  <si>
    <t>25-0433</t>
  </si>
  <si>
    <t>25-0434</t>
  </si>
  <si>
    <t xml:space="preserve">Business cards (Mohammad El Mougy) </t>
  </si>
  <si>
    <t>25-0435</t>
  </si>
  <si>
    <t>25-0436</t>
  </si>
  <si>
    <t>A4 Envelope and Business Card</t>
  </si>
  <si>
    <t>25-0437</t>
  </si>
  <si>
    <t>many Items</t>
  </si>
  <si>
    <t>25-0438</t>
  </si>
  <si>
    <t>25-0439</t>
  </si>
  <si>
    <t>Gift box</t>
  </si>
  <si>
    <t>25-0440</t>
  </si>
  <si>
    <t>Paper bag and plastic bag</t>
  </si>
  <si>
    <t>25-0441</t>
  </si>
  <si>
    <t xml:space="preserve">Car Air Freshener </t>
  </si>
  <si>
    <t>25-0442</t>
  </si>
  <si>
    <t>Design and Development charges</t>
  </si>
  <si>
    <t>25-0443R</t>
  </si>
  <si>
    <t>Tabletop frame for Polaroid Pictures</t>
  </si>
  <si>
    <t>25-0444</t>
  </si>
  <si>
    <t>Parking Signage and Sign Board</t>
  </si>
  <si>
    <t>25-0445</t>
  </si>
  <si>
    <t xml:space="preserve">Glass Branding </t>
  </si>
  <si>
    <t>25-0446</t>
  </si>
  <si>
    <t>Handbag Hook and MBA Trifold Flyer</t>
  </si>
  <si>
    <t>25-0447R</t>
  </si>
  <si>
    <t>Flyer, Notebook, Water Bottle and Hook, Badge</t>
  </si>
  <si>
    <t>25-0448</t>
  </si>
  <si>
    <t>Polo Shirt and Caps</t>
  </si>
  <si>
    <t>25-0449</t>
  </si>
  <si>
    <t>Bait Al Uloom Excellence Hub of Education</t>
  </si>
  <si>
    <t>Acrylic 10mm with vinyl sticker and Rollup Banner</t>
  </si>
  <si>
    <t>25-0450</t>
  </si>
  <si>
    <t>Terminal fines forms</t>
  </si>
  <si>
    <t>25-0451</t>
  </si>
  <si>
    <t>Electric Lunch Box and Lunch bag</t>
  </si>
  <si>
    <t>25-0452</t>
  </si>
  <si>
    <t>Acrylic Signage (Sandwich)</t>
  </si>
  <si>
    <t>25-0453</t>
  </si>
  <si>
    <t>Installation of Plotter cut stickers</t>
  </si>
  <si>
    <t>25-0454</t>
  </si>
  <si>
    <t>25-0455</t>
  </si>
  <si>
    <t>TK Elevator UAE LLC</t>
  </si>
  <si>
    <t>Clear Sticker pasting on elevator (scratch proof)</t>
  </si>
  <si>
    <t>25-0456</t>
  </si>
  <si>
    <t>Jhaizai Marie</t>
  </si>
  <si>
    <t>PVC Clear sticker for perfume Bottle</t>
  </si>
  <si>
    <t>25-0457R1</t>
  </si>
  <si>
    <t>25-0458</t>
  </si>
  <si>
    <t>Business Card  (Umesh Kumar Roy)</t>
  </si>
  <si>
    <t>25-0459</t>
  </si>
  <si>
    <t>Floor standing Flag (Customized)</t>
  </si>
  <si>
    <t>25-0460</t>
  </si>
  <si>
    <t>Auto Dome</t>
  </si>
  <si>
    <t>Cargo pants, Polo shirt and Cap</t>
  </si>
  <si>
    <t>25-0461</t>
  </si>
  <si>
    <t>Tote bag</t>
  </si>
  <si>
    <t>25-0462</t>
  </si>
  <si>
    <t>25-0463</t>
  </si>
  <si>
    <t>OneStep Global (TUS)</t>
  </si>
  <si>
    <t>25-0464</t>
  </si>
  <si>
    <t>Ms. Neha</t>
  </si>
  <si>
    <t>Tote Bag, cap, Towel, keychain and Ball</t>
  </si>
  <si>
    <t>25-0465</t>
  </si>
  <si>
    <t xml:space="preserve">Sticker pasting </t>
  </si>
  <si>
    <t>25-0466</t>
  </si>
  <si>
    <t>OneStep Global</t>
  </si>
  <si>
    <t>Notebook, Pen, A5 Notebook and Pen, Keychain, Travel  Tag pocket - Black, Luggage Tag and Digital Luggage Scale</t>
  </si>
  <si>
    <t>25-0467</t>
  </si>
  <si>
    <t>Esharp FZC</t>
  </si>
  <si>
    <t>25-0468R</t>
  </si>
  <si>
    <t>Flyer - 2-fold</t>
  </si>
  <si>
    <t>25-0469</t>
  </si>
  <si>
    <t xml:space="preserve">Office Boy uniform, Cleaner Uniform and Formal Shoes </t>
  </si>
  <si>
    <t>25-0470</t>
  </si>
  <si>
    <t>Polo shirts (Kids and Adults) and Aprons with pockets, Nanny uniforms</t>
  </si>
  <si>
    <t>25-0471</t>
  </si>
  <si>
    <t>Photo Frames</t>
  </si>
  <si>
    <t>25-0472</t>
  </si>
  <si>
    <t>Fabrication, supply and installation of PU painted reception desk</t>
  </si>
  <si>
    <t>25-0473</t>
  </si>
  <si>
    <t>Lobby Glass Sticker</t>
  </si>
  <si>
    <t>25-0474</t>
  </si>
  <si>
    <t>Ms. Sakina</t>
  </si>
  <si>
    <t>25-0475R</t>
  </si>
  <si>
    <t>Business Card  (Rony Richard)</t>
  </si>
  <si>
    <t>25-0476</t>
  </si>
  <si>
    <t>Hoodies</t>
  </si>
  <si>
    <t>25-0477</t>
  </si>
  <si>
    <t>Power Banks</t>
  </si>
  <si>
    <t>25-0478</t>
  </si>
  <si>
    <t>25-0479</t>
  </si>
  <si>
    <t>DL Envelope</t>
  </si>
  <si>
    <t>25-0480</t>
  </si>
  <si>
    <t>Roll Up banner and A4 stand</t>
  </si>
  <si>
    <t>25-0481</t>
  </si>
  <si>
    <t xml:space="preserve">Belen Electronics Trading LLC </t>
  </si>
  <si>
    <t>Flyer, stamp, Business card and Letterhead</t>
  </si>
  <si>
    <t>25-0482</t>
  </si>
  <si>
    <t>25-0483</t>
  </si>
  <si>
    <t>Nameplate</t>
  </si>
  <si>
    <t>25-0484</t>
  </si>
  <si>
    <t>University of Ottawa</t>
  </si>
  <si>
    <t>Booklet and Flyer</t>
  </si>
  <si>
    <t>25-0485</t>
  </si>
  <si>
    <t>MIP Recoganition award</t>
  </si>
  <si>
    <t>25-0486</t>
  </si>
  <si>
    <t>Vinyl stickers for signage</t>
  </si>
  <si>
    <t>25-0487R1</t>
  </si>
  <si>
    <t>25-0488</t>
  </si>
  <si>
    <t>25-0489</t>
  </si>
  <si>
    <t>SECA GMBH &amp; CO. KG</t>
  </si>
  <si>
    <t>Acrylic Signage Board</t>
  </si>
  <si>
    <t>25-0490</t>
  </si>
  <si>
    <t>Al Afnan Steel Ind. Co. LLC</t>
  </si>
  <si>
    <t>25-0491</t>
  </si>
  <si>
    <t>25-0492</t>
  </si>
  <si>
    <t>25-0493</t>
  </si>
  <si>
    <t>25-0494</t>
  </si>
  <si>
    <t>GSS Management Consultancy</t>
  </si>
  <si>
    <t>Wooden Plaques with Box</t>
  </si>
  <si>
    <t>25-0495R1</t>
  </si>
  <si>
    <t>ASK Management Consultants</t>
  </si>
  <si>
    <t>Brochure, Rubber Stamp and designing</t>
  </si>
  <si>
    <t>25-0496</t>
  </si>
  <si>
    <t>Recycled Multi-Cable Set</t>
  </si>
  <si>
    <t>25-0497</t>
  </si>
  <si>
    <t>Color Express Boxes and Packaging LLC</t>
  </si>
  <si>
    <t>Trophy and medal</t>
  </si>
  <si>
    <t>25-0498</t>
  </si>
  <si>
    <t>Door signage</t>
  </si>
  <si>
    <t>25-0499</t>
  </si>
  <si>
    <t>25-0500</t>
  </si>
  <si>
    <t>25-0501</t>
  </si>
  <si>
    <t>25-0502</t>
  </si>
  <si>
    <t>VELA ARC REAL ESTATE L.L.C</t>
  </si>
  <si>
    <t>Receipt Voucher Book, Business Card and designing</t>
  </si>
  <si>
    <t>25-0503</t>
  </si>
  <si>
    <t>Chocolate box - Ignyte</t>
  </si>
  <si>
    <t>25-0504</t>
  </si>
  <si>
    <t>25-0505</t>
  </si>
  <si>
    <t>25-0506R</t>
  </si>
  <si>
    <t>Printing Collaterals 2026</t>
  </si>
  <si>
    <t>25-0507</t>
  </si>
  <si>
    <t>Brochure (Newsletter)</t>
  </si>
  <si>
    <t>25-0508R</t>
  </si>
  <si>
    <t>Payment Voucher Book</t>
  </si>
  <si>
    <t>25-0509</t>
  </si>
  <si>
    <t>Umbrella with UV Protection</t>
  </si>
  <si>
    <t>25-0510</t>
  </si>
  <si>
    <t>Wall Clock</t>
  </si>
  <si>
    <t>25-0511</t>
  </si>
  <si>
    <t>Counselling Point Training &amp; Development</t>
  </si>
  <si>
    <t xml:space="preserve">Cards </t>
  </si>
  <si>
    <t>25-0512</t>
  </si>
  <si>
    <t>Envelope (A4 and DL)</t>
  </si>
  <si>
    <t>25-0513</t>
  </si>
  <si>
    <t>Business Card (200 x 4 names)</t>
  </si>
  <si>
    <t>25-0514</t>
  </si>
  <si>
    <t>Tumbler</t>
  </si>
  <si>
    <t>25-0515</t>
  </si>
  <si>
    <t>Reception signage</t>
  </si>
  <si>
    <t>25-0516</t>
  </si>
  <si>
    <t>Willow Art Advertising Contracting LLC</t>
  </si>
  <si>
    <t>Polo shirt and Cargo pant</t>
  </si>
  <si>
    <t>25-0517R</t>
  </si>
  <si>
    <t>25-0518</t>
  </si>
  <si>
    <t>Dutees Apparel Trading LLC</t>
  </si>
  <si>
    <t>25-0519</t>
  </si>
  <si>
    <t xml:space="preserve">Polo shirts and cargo pants </t>
  </si>
  <si>
    <t>25-0520</t>
  </si>
  <si>
    <t>Scrolls, name card and brochure</t>
  </si>
  <si>
    <t>25-0521</t>
  </si>
  <si>
    <t xml:space="preserve">Crystal Trophy </t>
  </si>
  <si>
    <t>25-0522</t>
  </si>
  <si>
    <t>25-0523</t>
  </si>
  <si>
    <t>Orience</t>
  </si>
  <si>
    <t xml:space="preserve">Flags </t>
  </si>
  <si>
    <t>25-0524</t>
  </si>
  <si>
    <t>25-0525</t>
  </si>
  <si>
    <t>Sign boards</t>
  </si>
  <si>
    <t>25-0526</t>
  </si>
  <si>
    <t>Business cards (Omer Abid Khan)</t>
  </si>
  <si>
    <t>25-0527R</t>
  </si>
  <si>
    <t>Brochure (A3 to A4)</t>
  </si>
  <si>
    <t>25-0528</t>
  </si>
  <si>
    <t>York University</t>
  </si>
  <si>
    <t>25-0529</t>
  </si>
  <si>
    <t>25-0530R</t>
  </si>
  <si>
    <t>On campus</t>
  </si>
  <si>
    <t>Plastic Pen</t>
  </si>
  <si>
    <t>25-0531</t>
  </si>
  <si>
    <t>Flyer, A3 Poster and Rollup banner</t>
  </si>
  <si>
    <t>25-0532</t>
  </si>
  <si>
    <t>ISP Flyers, Pennant Flags and Desk calendar</t>
  </si>
  <si>
    <t>25-0533R1</t>
  </si>
  <si>
    <t>Plotter sticker</t>
  </si>
  <si>
    <t>25-0534</t>
  </si>
  <si>
    <t>Mr. Rohit</t>
  </si>
  <si>
    <t>25-0535</t>
  </si>
  <si>
    <t>25-0536</t>
  </si>
  <si>
    <t>Price Tag</t>
  </si>
  <si>
    <t>25-0537</t>
  </si>
  <si>
    <t>Hoodie with zipper</t>
  </si>
  <si>
    <t>25-0538</t>
  </si>
  <si>
    <t>Business Card (Reprinting) -  (Aju Abraham Thomas)</t>
  </si>
  <si>
    <t>25-0539</t>
  </si>
  <si>
    <t>Beautiful Horizons ELC</t>
  </si>
  <si>
    <t>Workbook - A, B and C</t>
  </si>
  <si>
    <t>25-0540</t>
  </si>
  <si>
    <t xml:space="preserve">Foam Board </t>
  </si>
  <si>
    <t>25-0541</t>
  </si>
  <si>
    <t>Mr. Yazen</t>
  </si>
  <si>
    <t>25-0542</t>
  </si>
  <si>
    <t>25-0543</t>
  </si>
  <si>
    <t>25-0544</t>
  </si>
  <si>
    <t>25-0545</t>
  </si>
  <si>
    <t>Business cards  (Karim Elkoneicy)</t>
  </si>
  <si>
    <t>25-0546</t>
  </si>
  <si>
    <t>Postcards, Flyer, Rollup banner and Table runner</t>
  </si>
  <si>
    <t>25-0547</t>
  </si>
  <si>
    <t>25-0548R</t>
  </si>
  <si>
    <t>Business Card (Reprinting) -  (Omar Rishi), (Peter Verheijen)</t>
  </si>
  <si>
    <t>25-0549</t>
  </si>
  <si>
    <t>Business Card (Hamoon Babachahi)</t>
  </si>
  <si>
    <t>25-0550</t>
  </si>
  <si>
    <t>Table top with print and Acrylic Signage (Sandwich)</t>
  </si>
  <si>
    <t>25-0551</t>
  </si>
  <si>
    <t>Drive Rent a Car</t>
  </si>
  <si>
    <t>25-0552</t>
  </si>
  <si>
    <t xml:space="preserve">Flyer UG, PG and Brochure </t>
  </si>
  <si>
    <t>25-0553</t>
  </si>
  <si>
    <t>At Your Service Production</t>
  </si>
  <si>
    <t>25-0554</t>
  </si>
  <si>
    <t>25-0555</t>
  </si>
  <si>
    <t>Booth Branding - BMI Dubai Education Fair - Oct 11-12</t>
  </si>
  <si>
    <t>25-0556</t>
  </si>
  <si>
    <t>Admin Team- Desk calendar, Cork notebook and Badge</t>
  </si>
  <si>
    <t>25-0557R</t>
  </si>
  <si>
    <t>Flyer, Notebook, Metal Pen and Stcker and Pennant flag</t>
  </si>
  <si>
    <t>25-0558</t>
  </si>
  <si>
    <t>Customized box (Tray and sleeve)</t>
  </si>
  <si>
    <t>25-0559</t>
  </si>
  <si>
    <t>Folder</t>
  </si>
  <si>
    <t>25-0560</t>
  </si>
  <si>
    <t>Business Cards, tabletop banner and sticker</t>
  </si>
  <si>
    <t>25-0561</t>
  </si>
  <si>
    <t>Shararf Travel Services LLC</t>
  </si>
  <si>
    <t>T shirt (Roundneck), Canvas Board and Acrylic Color Paints</t>
  </si>
  <si>
    <t>25-0562</t>
  </si>
  <si>
    <t>IELTS Vouchers</t>
  </si>
  <si>
    <t>25-0563</t>
  </si>
  <si>
    <t>Rollup and Beach flag</t>
  </si>
  <si>
    <t>25-0564</t>
  </si>
  <si>
    <t>Business cards - (Brendan Thomas)</t>
  </si>
  <si>
    <t>25-0565R2</t>
  </si>
  <si>
    <t>For Cepheid</t>
  </si>
  <si>
    <t>25-0566</t>
  </si>
  <si>
    <t>Dip Dash Restaurant &amp; Café</t>
  </si>
  <si>
    <t>Kraft / Eflute paper box</t>
  </si>
  <si>
    <t>25-0567</t>
  </si>
  <si>
    <t>25-0568</t>
  </si>
  <si>
    <t>25-0569</t>
  </si>
  <si>
    <t>Business Card (Maeva Alessi)</t>
  </si>
  <si>
    <t>25-0570</t>
  </si>
  <si>
    <t>Envelope (Customized) - A4 and DL</t>
  </si>
  <si>
    <t>25-0571</t>
  </si>
  <si>
    <t>Business Crad(Karishma Joshi)</t>
  </si>
  <si>
    <t>25-0572</t>
  </si>
  <si>
    <t>Business Card  (Nathil Pillai)</t>
  </si>
  <si>
    <t>25-0573R</t>
  </si>
  <si>
    <t>25-0574</t>
  </si>
  <si>
    <t>A4 Flyers (Med and Game)</t>
  </si>
  <si>
    <t>25-0575</t>
  </si>
  <si>
    <t>25-0576</t>
  </si>
  <si>
    <t>Pin badges</t>
  </si>
  <si>
    <t>25-0577</t>
  </si>
  <si>
    <t>Huron University</t>
  </si>
  <si>
    <t>25-0578</t>
  </si>
  <si>
    <t>Business Card (Victor Wai) (Zina S)</t>
  </si>
  <si>
    <t>25-0579</t>
  </si>
  <si>
    <t>25-0580</t>
  </si>
  <si>
    <t>Tent Card, A5 card, A5 Cue Card (Booklet) and Name Card</t>
  </si>
  <si>
    <t>25-0581</t>
  </si>
  <si>
    <t>25-0582</t>
  </si>
  <si>
    <t>Arvind</t>
  </si>
  <si>
    <t>25-0583</t>
  </si>
  <si>
    <t>Canvas Bag</t>
  </si>
  <si>
    <t>25-0584</t>
  </si>
  <si>
    <t>TTE</t>
  </si>
  <si>
    <t>Balloon decoration</t>
  </si>
  <si>
    <t>25-0585</t>
  </si>
  <si>
    <t>Vehicle Branding-Nissan Rouge</t>
  </si>
  <si>
    <t>25-0586R</t>
  </si>
  <si>
    <t>2  Fold Brochure</t>
  </si>
  <si>
    <t>25-0587</t>
  </si>
  <si>
    <t>Drawstring Bag</t>
  </si>
  <si>
    <t>25-0588</t>
  </si>
  <si>
    <t>Ignyte items</t>
  </si>
  <si>
    <t>25-0589</t>
  </si>
  <si>
    <t>Hand Towel</t>
  </si>
  <si>
    <t>25-0590</t>
  </si>
  <si>
    <t>Business Card (200 x 1 name and 100 x 1 name)</t>
  </si>
  <si>
    <t>25-0591</t>
  </si>
  <si>
    <t>Vest</t>
  </si>
  <si>
    <t>25-0592</t>
  </si>
  <si>
    <t>Business Crad  (Aamir Bakshi)</t>
  </si>
  <si>
    <t>25-0593</t>
  </si>
  <si>
    <t>Notebook (PU hard cover), Pen, Anti Stress balls and Waterbottle</t>
  </si>
  <si>
    <t>25-0594</t>
  </si>
  <si>
    <t>25-0595</t>
  </si>
  <si>
    <t>Ms. Mehak</t>
  </si>
  <si>
    <t>Cutouts and Acrylic stick with foam</t>
  </si>
  <si>
    <t>25-0596</t>
  </si>
  <si>
    <t>Mr. Raj Ojha</t>
  </si>
  <si>
    <t>Magnetic flap Kappaboard box</t>
  </si>
  <si>
    <t>25-0597</t>
  </si>
  <si>
    <t>Polo Shirts and Caps</t>
  </si>
  <si>
    <t>25-0598</t>
  </si>
  <si>
    <t>25-0599</t>
  </si>
  <si>
    <t>Business Card  (Youssef Dbiri)</t>
  </si>
  <si>
    <t>25-0600</t>
  </si>
  <si>
    <t>25-0601</t>
  </si>
  <si>
    <t>Prints (Coffee Badge)</t>
  </si>
  <si>
    <t>25-0602</t>
  </si>
  <si>
    <t>Printing collaterals</t>
  </si>
  <si>
    <t>25-0603</t>
  </si>
  <si>
    <t>25-0604</t>
  </si>
  <si>
    <t>IDP UAE Expo September 2025, Venue Branding</t>
  </si>
  <si>
    <t>25-0605</t>
  </si>
  <si>
    <t>GMR Group | Indo Tausch Trading DMCC</t>
  </si>
  <si>
    <t>Spiral Book</t>
  </si>
  <si>
    <t>25-0606</t>
  </si>
  <si>
    <t>25-0607</t>
  </si>
  <si>
    <t>Business Card 300 x 2 name - (Karishma and Shelby)</t>
  </si>
  <si>
    <t>25-0608</t>
  </si>
  <si>
    <t>Business Card (300 x 3 name)</t>
  </si>
  <si>
    <t>25-0609</t>
  </si>
  <si>
    <t xml:space="preserve">Coverall (customized) </t>
  </si>
  <si>
    <t>25-0610</t>
  </si>
  <si>
    <t>Lee &amp; Nee Softwares (Exports) Ltd</t>
  </si>
  <si>
    <t>25-0611</t>
  </si>
  <si>
    <t>Polo shirt (Kids)</t>
  </si>
  <si>
    <t>25-0612R</t>
  </si>
  <si>
    <t>Pen, Bottle, Notebook, Ball and Paper Bag</t>
  </si>
  <si>
    <t>25-0613</t>
  </si>
  <si>
    <t>Mr. Mohammad Sinaj</t>
  </si>
  <si>
    <t>Notebook, Cable Set, PVC Cards, Plaques, Souvenir and Business cards</t>
  </si>
  <si>
    <t>25-0614R</t>
  </si>
  <si>
    <t>Aprons with pocket</t>
  </si>
  <si>
    <t>25-0615</t>
  </si>
  <si>
    <t>Hardcase Book</t>
  </si>
  <si>
    <t>25-0616</t>
  </si>
  <si>
    <t>Tech Hub</t>
  </si>
  <si>
    <t>25-0617</t>
  </si>
  <si>
    <t>Agenda card, Table tent, Certificate, Plastic PVC Pouch, Name badge, Rollup Banners, Notepad and Plastic pen</t>
  </si>
  <si>
    <t>25-0618</t>
  </si>
  <si>
    <t>Excelsior Escapes and Events - FZCO</t>
  </si>
  <si>
    <t>25-0619</t>
  </si>
  <si>
    <t>Business Card (100 x 29 name)</t>
  </si>
  <si>
    <t>25-0620</t>
  </si>
  <si>
    <t>Mohammad Sinaj</t>
  </si>
  <si>
    <t>Cap</t>
  </si>
  <si>
    <t>25-0621</t>
  </si>
  <si>
    <t>Ms. Kalpa</t>
  </si>
  <si>
    <t>Affirmation box with card -</t>
  </si>
  <si>
    <t>25-0622R</t>
  </si>
  <si>
    <t>A5 card and Stickers</t>
  </si>
  <si>
    <t>25-0624</t>
  </si>
  <si>
    <t>25-0625R</t>
  </si>
  <si>
    <t>25-0626</t>
  </si>
  <si>
    <t>Vehicle Branding - Nissan Urvan (2020 and 2024 model)</t>
  </si>
  <si>
    <t>25-0627</t>
  </si>
  <si>
    <t>Mic and Swimming cap</t>
  </si>
  <si>
    <t>25-0628</t>
  </si>
  <si>
    <t>Ciel Brunch and Bistro Café</t>
  </si>
  <si>
    <t>Signages</t>
  </si>
  <si>
    <t>25-0629</t>
  </si>
  <si>
    <t>GNX</t>
  </si>
  <si>
    <t>T-shirts</t>
  </si>
  <si>
    <t>25-0630</t>
  </si>
  <si>
    <t>25-0631</t>
  </si>
  <si>
    <t>Meeting room signanges</t>
  </si>
  <si>
    <t>25-0632</t>
  </si>
  <si>
    <t>Frosted stickers for glass</t>
  </si>
  <si>
    <t>25-0633</t>
  </si>
  <si>
    <t>Business Card  (P.G. Haridas)</t>
  </si>
  <si>
    <t>25-0634</t>
  </si>
  <si>
    <t>Changing the Company name on existing signage</t>
  </si>
  <si>
    <t>25-0635</t>
  </si>
  <si>
    <t>Metal frame for branding</t>
  </si>
  <si>
    <t>25-0636</t>
  </si>
  <si>
    <t>25-0637</t>
  </si>
  <si>
    <t>Acrylic Stand for QR code</t>
  </si>
  <si>
    <t>25-0638</t>
  </si>
  <si>
    <t>Galadari</t>
  </si>
  <si>
    <t>Staff uniforms</t>
  </si>
  <si>
    <t>25-0639</t>
  </si>
  <si>
    <t>IIT Delhi</t>
  </si>
  <si>
    <t>Promotion Stand</t>
  </si>
  <si>
    <t>25-0640</t>
  </si>
  <si>
    <t>Paper Cups with plastic lid and Stirrer</t>
  </si>
  <si>
    <t>25-0641</t>
  </si>
  <si>
    <t>25-0642R1</t>
  </si>
  <si>
    <t>25-0643</t>
  </si>
  <si>
    <t>Ramfoam Containers Manufacturing LLC</t>
  </si>
  <si>
    <t>25-0644</t>
  </si>
  <si>
    <t>Arametal Oil Field Equipment Industry</t>
  </si>
  <si>
    <t>25-0645R</t>
  </si>
  <si>
    <t>25-0646</t>
  </si>
  <si>
    <t>Office branding</t>
  </si>
  <si>
    <t>25-0647</t>
  </si>
  <si>
    <t>FAD - Institute of Luxury Fashion and Style</t>
  </si>
  <si>
    <t>Notebook and bag</t>
  </si>
  <si>
    <t>25-0648R2</t>
  </si>
  <si>
    <t>Datagram Network Technologies LLC</t>
  </si>
  <si>
    <t>25-0649</t>
  </si>
  <si>
    <t>Lanyard with reel badge (customized)</t>
  </si>
  <si>
    <t>25-0650</t>
  </si>
  <si>
    <t>25-0651</t>
  </si>
  <si>
    <t>Wooden plaque / Pop-up banner and designing charge</t>
  </si>
  <si>
    <t>25-0652</t>
  </si>
  <si>
    <t>Business Card  (Susheel Kumar Jorrige)</t>
  </si>
  <si>
    <t>25-0653</t>
  </si>
  <si>
    <t>Medrich Care Dental &amp; Medical Center LLC</t>
  </si>
  <si>
    <t>NFC Card</t>
  </si>
  <si>
    <t>25-0654</t>
  </si>
  <si>
    <t>Cube branding (Inspirify)</t>
  </si>
  <si>
    <t>25-0655</t>
  </si>
  <si>
    <t>APPLUS RTD GULF DMCC</t>
  </si>
  <si>
    <t>25-0656R1</t>
  </si>
  <si>
    <t>Mr. Edwin</t>
  </si>
  <si>
    <t>Polo Shirts, Prescription pad and Lapel Pin</t>
  </si>
  <si>
    <t>25-0657</t>
  </si>
  <si>
    <t>25-0658</t>
  </si>
  <si>
    <t>Business Card  (Aurelien Balp)</t>
  </si>
  <si>
    <t>25-0659</t>
  </si>
  <si>
    <t>Business card (Lucy Robertson )</t>
  </si>
  <si>
    <t>25-0660</t>
  </si>
  <si>
    <t>A5 Card</t>
  </si>
  <si>
    <t>25-0661</t>
  </si>
  <si>
    <t>25-0662</t>
  </si>
  <si>
    <t>25-0663</t>
  </si>
  <si>
    <t>A4 flyer</t>
  </si>
  <si>
    <t>25-0664</t>
  </si>
  <si>
    <t>Mr. Syam Sarath</t>
  </si>
  <si>
    <t>Uniforms</t>
  </si>
  <si>
    <t>25-0665</t>
  </si>
  <si>
    <t>RAF Pools</t>
  </si>
  <si>
    <t>25-0667</t>
  </si>
  <si>
    <t>25-0668</t>
  </si>
  <si>
    <t>Hamilton College</t>
  </si>
  <si>
    <t>Card and Flyer</t>
  </si>
  <si>
    <t>25-0669</t>
  </si>
  <si>
    <t>Cotton Cap</t>
  </si>
  <si>
    <t>25-0670</t>
  </si>
  <si>
    <t>Business Card  (Farid Belbouab)</t>
  </si>
  <si>
    <t>25-0671</t>
  </si>
  <si>
    <t>25-0672</t>
  </si>
  <si>
    <t>Business Cards (Amith and Alphin)</t>
  </si>
  <si>
    <t>25-0673</t>
  </si>
  <si>
    <t>25-0674R1</t>
  </si>
  <si>
    <t>For Mohab (Najah)</t>
  </si>
  <si>
    <t>25-0675</t>
  </si>
  <si>
    <t>Cedar Tree Hospitality</t>
  </si>
  <si>
    <t>25-0676</t>
  </si>
  <si>
    <t>A4 Pocket Folder</t>
  </si>
  <si>
    <t>25-0677</t>
  </si>
  <si>
    <t>Door branding</t>
  </si>
  <si>
    <t>25-0678</t>
  </si>
  <si>
    <t>GES Group</t>
  </si>
  <si>
    <t>Customized vest and Epoxy badge</t>
  </si>
  <si>
    <t>25-0679</t>
  </si>
  <si>
    <t>Polo Shirt (Full sleeve)</t>
  </si>
  <si>
    <t>25-0680</t>
  </si>
  <si>
    <t>Lamsah Glass</t>
  </si>
  <si>
    <t>Business card (250 x 2 name)</t>
  </si>
  <si>
    <t>25-0681</t>
  </si>
  <si>
    <t>AIM A/C Contracting and Maintenance LLC</t>
  </si>
  <si>
    <t>25-0682</t>
  </si>
  <si>
    <t>Metal Pen- Pecunia</t>
  </si>
  <si>
    <t>25-0683</t>
  </si>
  <si>
    <t>Ms. Samira</t>
  </si>
  <si>
    <t xml:space="preserve">Hoodie </t>
  </si>
  <si>
    <t>25-0684</t>
  </si>
  <si>
    <t>25-0685</t>
  </si>
  <si>
    <t>Afaq Engineering for Building Contracting</t>
  </si>
  <si>
    <t>Wristbands</t>
  </si>
  <si>
    <t>25-0686</t>
  </si>
  <si>
    <t>25-0687R</t>
  </si>
  <si>
    <t>MagSafe Power Bank</t>
  </si>
  <si>
    <t>25-0688</t>
  </si>
  <si>
    <t>RAG BIZ HQ Business Centre</t>
  </si>
  <si>
    <t>Bottle and Mug</t>
  </si>
  <si>
    <t>25-0689</t>
  </si>
  <si>
    <t>A5 card</t>
  </si>
  <si>
    <t>25-0690</t>
  </si>
  <si>
    <t>Business Card  (Mohamed Abdulmotalib)</t>
  </si>
  <si>
    <t>25-0691</t>
  </si>
  <si>
    <t>Mobile Business Company JSC</t>
  </si>
  <si>
    <t>Embroidery On client provided Polo shirts</t>
  </si>
  <si>
    <t>25-0692</t>
  </si>
  <si>
    <t xml:space="preserve"> Business Card  (Mahmoud Hamza)</t>
  </si>
  <si>
    <t>25-0693</t>
  </si>
  <si>
    <t>Business Card  (Amila Vidanagamage)</t>
  </si>
  <si>
    <t>25-0694</t>
  </si>
  <si>
    <t>Business card (500 x 9 name)</t>
  </si>
  <si>
    <t>25-0695</t>
  </si>
  <si>
    <t>Baby Home Nursery</t>
  </si>
  <si>
    <t>Workbook</t>
  </si>
  <si>
    <t>25-0696</t>
  </si>
  <si>
    <t>Round neck Tshirt and backdrop</t>
  </si>
  <si>
    <t>25-0697</t>
  </si>
  <si>
    <t>25-0698</t>
  </si>
  <si>
    <t>25-0699</t>
  </si>
  <si>
    <t>Childrens Book</t>
  </si>
  <si>
    <t>25-0700</t>
  </si>
  <si>
    <t>Business Cards (200 x 3 name)</t>
  </si>
  <si>
    <t>25-0701</t>
  </si>
  <si>
    <t>T shirts</t>
  </si>
  <si>
    <t>25-0702</t>
  </si>
  <si>
    <t>Printing on client provided Tumblers</t>
  </si>
  <si>
    <t>25-0703</t>
  </si>
  <si>
    <t>Rollup Banner, L - Flag and Popup banner media change</t>
  </si>
  <si>
    <t>25-0704</t>
  </si>
  <si>
    <t>PG Cards</t>
  </si>
  <si>
    <t>25-0705</t>
  </si>
  <si>
    <t>Business cards  (Molby Mascarenhas)</t>
  </si>
  <si>
    <t>25-0706</t>
  </si>
  <si>
    <t>Tyvek Wrist band with QR code</t>
  </si>
  <si>
    <t>25-0707</t>
  </si>
  <si>
    <t>Riders Jacket and Pant</t>
  </si>
  <si>
    <t>25-0708</t>
  </si>
  <si>
    <t>Gift</t>
  </si>
  <si>
    <t>25-0709</t>
  </si>
  <si>
    <t>MBA Executive prinable and rollup</t>
  </si>
  <si>
    <t>25-0710</t>
  </si>
  <si>
    <t>25-0711</t>
  </si>
  <si>
    <t>Ceramic Mug with Bamboo Lid</t>
  </si>
  <si>
    <t>25-0712</t>
  </si>
  <si>
    <t>Cutlery Set</t>
  </si>
  <si>
    <t>25-0713R</t>
  </si>
  <si>
    <t>Brogan Group</t>
  </si>
  <si>
    <t>Newsletter and Brochure</t>
  </si>
  <si>
    <t>25-0714</t>
  </si>
  <si>
    <t>Business card and badge (Professor Michael Gallimore)</t>
  </si>
  <si>
    <t>25-0715</t>
  </si>
  <si>
    <t>Business Card  (Arvind Giri)</t>
  </si>
  <si>
    <t>25-0716</t>
  </si>
  <si>
    <t>Polo Shirt and pants</t>
  </si>
  <si>
    <t>25-0717</t>
  </si>
  <si>
    <t>Business Cards - (1000 x 2 name and 600 x 5 name)</t>
  </si>
  <si>
    <t>25-0718</t>
  </si>
  <si>
    <t>Pants</t>
  </si>
  <si>
    <t>25-0719</t>
  </si>
  <si>
    <t>Euphoria Fitout Technical Services Co. L.L.C.</t>
  </si>
  <si>
    <t>Vinyl sticker on 5 mm foam board</t>
  </si>
  <si>
    <t>25-0720</t>
  </si>
  <si>
    <t>25-0721</t>
  </si>
  <si>
    <t>Institute of Management Technology</t>
  </si>
  <si>
    <t>Sports Jersey + Shorts</t>
  </si>
  <si>
    <t>25-0722</t>
  </si>
  <si>
    <t>IBA House Interior Design Works</t>
  </si>
  <si>
    <t>Customised Vest</t>
  </si>
  <si>
    <t>25-0723</t>
  </si>
  <si>
    <t>Gift Bag - Fam trip</t>
  </si>
  <si>
    <t>25-0724R1</t>
  </si>
  <si>
    <t>Business Card ( 250 x 3 names)</t>
  </si>
  <si>
    <t>25-0725</t>
  </si>
  <si>
    <t>Business Card  (Binoj James)</t>
  </si>
  <si>
    <t>25-0726</t>
  </si>
  <si>
    <t>Paper, sticker, and pen</t>
  </si>
  <si>
    <t>25-0727</t>
  </si>
  <si>
    <t>Notepad and Plastic pen</t>
  </si>
  <si>
    <t>25-0728</t>
  </si>
  <si>
    <t>Putzmeister Middle East</t>
  </si>
  <si>
    <t>Safety Vest and Cap</t>
  </si>
  <si>
    <t>25-0729</t>
  </si>
  <si>
    <t>KRET General Contracting LLC</t>
  </si>
  <si>
    <t>25-0730</t>
  </si>
  <si>
    <t>Safety vest, Polo shirt, Notebook and Sticker</t>
  </si>
  <si>
    <t>25-0731R</t>
  </si>
  <si>
    <t>Acrylic Poster Signage</t>
  </si>
  <si>
    <t>25-0732</t>
  </si>
  <si>
    <t>MURDOCH Dubai Grads -</t>
  </si>
  <si>
    <t>25-0733</t>
  </si>
  <si>
    <t xml:space="preserve">Calendar, Pennant flag, sticker, Lapel pin and gift </t>
  </si>
  <si>
    <t>25-0734</t>
  </si>
  <si>
    <t>Treasures of Talented Entrepreneurs</t>
  </si>
  <si>
    <t>25-0735</t>
  </si>
  <si>
    <t>Sarah for Food and Beverages Trading Co. L.L.C</t>
  </si>
  <si>
    <t>T shirt and cap</t>
  </si>
  <si>
    <t>25-0736</t>
  </si>
  <si>
    <t>Waisl Digital</t>
  </si>
  <si>
    <t>25-0737</t>
  </si>
  <si>
    <t>25-0738</t>
  </si>
  <si>
    <t>Marketing Stock - Notebook and Pen Set - Red, Backdrop and Posters</t>
  </si>
  <si>
    <t>25-0739</t>
  </si>
  <si>
    <t>Admin Stock - Notebook and Pen Set - Red</t>
  </si>
  <si>
    <t>25-0740</t>
  </si>
  <si>
    <t>Pen (Metal) and Pouch</t>
  </si>
  <si>
    <t>25-0741</t>
  </si>
  <si>
    <t>Mr. Adnan Anees</t>
  </si>
  <si>
    <t>One way vision sticker on doors</t>
  </si>
  <si>
    <t>25-0742</t>
  </si>
  <si>
    <t>LH, BC and USB flash drive with box</t>
  </si>
  <si>
    <t>25-0743</t>
  </si>
  <si>
    <t>CCI Global</t>
  </si>
  <si>
    <t>Reception Signage and Reception Table branding</t>
  </si>
  <si>
    <t>25-0744</t>
  </si>
  <si>
    <t>Al Qithara Foodstuff Trading LLC</t>
  </si>
  <si>
    <t>25-0745R</t>
  </si>
  <si>
    <t>Backdrop and Printing / Engraving on Gold Plate</t>
  </si>
  <si>
    <t>25-0746</t>
  </si>
  <si>
    <t>Business Card  (Pankaj Jha)</t>
  </si>
  <si>
    <t>25-0747R</t>
  </si>
  <si>
    <t>Contitech Fluid Oil &amp; Marine Middle East FZE</t>
  </si>
  <si>
    <t>Business cards ( 300 x 2 name)</t>
  </si>
  <si>
    <t>25-0748</t>
  </si>
  <si>
    <t>Cotton Tote Bag, Flyer Brochure, Badges and Stamp</t>
  </si>
  <si>
    <t>25-0749</t>
  </si>
  <si>
    <t>A5 Notebook, Pen, Plantable Calendar and 4-in-1 Fan Powerbank, Safety Alarm &amp; Torch</t>
  </si>
  <si>
    <t>25-0750R</t>
  </si>
  <si>
    <t>25-0751</t>
  </si>
  <si>
    <t>Rove La Mer Beach</t>
  </si>
  <si>
    <t>Jersey + Shots</t>
  </si>
  <si>
    <t>25-0752R</t>
  </si>
  <si>
    <t>25-0753</t>
  </si>
  <si>
    <t>Admin Team - Desk Calendar 2026</t>
  </si>
  <si>
    <t>25-0754</t>
  </si>
  <si>
    <t>Business Card -  ( Kamal Wijayasinghe)</t>
  </si>
  <si>
    <t>25-0755R</t>
  </si>
  <si>
    <t>25-0756</t>
  </si>
  <si>
    <t>Flyer and Brochure</t>
  </si>
  <si>
    <t>25-0757</t>
  </si>
  <si>
    <t>Business card  ( Aju Thomas )</t>
  </si>
  <si>
    <t>25-0758</t>
  </si>
  <si>
    <t>Powerbank</t>
  </si>
  <si>
    <t>25-0759R</t>
  </si>
  <si>
    <t>Gift box for dates</t>
  </si>
  <si>
    <t>25-0760</t>
  </si>
  <si>
    <t>Business Card  (Nouha Kedous)</t>
  </si>
  <si>
    <t>25-0761</t>
  </si>
  <si>
    <t>Agenda Card</t>
  </si>
  <si>
    <t>25-0762</t>
  </si>
  <si>
    <t>Business Card  ( Zina S )</t>
  </si>
  <si>
    <t>25-0763</t>
  </si>
  <si>
    <t>Business Card  (200 x 5 names)</t>
  </si>
  <si>
    <t>25-0764R</t>
  </si>
  <si>
    <t>DRN Air Conditioning Co. L.L.C.</t>
  </si>
  <si>
    <t>Polo shirt and cargo pants</t>
  </si>
  <si>
    <t>25-0765R</t>
  </si>
  <si>
    <t>Polo shirt and Aprons</t>
  </si>
  <si>
    <t>25-0766</t>
  </si>
  <si>
    <t>Mr. Mahi</t>
  </si>
  <si>
    <t>Round neck T shirt</t>
  </si>
  <si>
    <t>25-0767</t>
  </si>
  <si>
    <t>Lapel pin</t>
  </si>
  <si>
    <t>25-0768</t>
  </si>
  <si>
    <t>ESBEE Global Solutions FZE</t>
  </si>
  <si>
    <t>Polo shirt and cargo pant, Formal Shirt, Formal Pants and Polo</t>
  </si>
  <si>
    <t>25-0769R</t>
  </si>
  <si>
    <t>Business Card  ( Sara Eid )</t>
  </si>
  <si>
    <t>25-0770</t>
  </si>
  <si>
    <t>25-0771</t>
  </si>
  <si>
    <t>Double Wall Vacuum Water bottle</t>
  </si>
  <si>
    <t>25-0772R</t>
  </si>
  <si>
    <t>Al Shamama Documents Clearing Services LLC</t>
  </si>
  <si>
    <t>Envelopes</t>
  </si>
  <si>
    <t>25-0773R</t>
  </si>
  <si>
    <t>Roundneck T-shirt (Kids), Paper bag, Rollup Banner and Business cards</t>
  </si>
  <si>
    <t>25-0774</t>
  </si>
  <si>
    <t>Soft Touch Interior &amp; Fitouts</t>
  </si>
  <si>
    <t>25-0775</t>
  </si>
  <si>
    <t>VRS Technologies LLC</t>
  </si>
  <si>
    <t>Embroidery on client provided formal shirts</t>
  </si>
  <si>
    <t>25-0776R</t>
  </si>
  <si>
    <t>Al Sidra Road Construction Contg. LLC</t>
  </si>
  <si>
    <t>25-0777</t>
  </si>
  <si>
    <t>Metal Signage</t>
  </si>
  <si>
    <t>25-0778</t>
  </si>
  <si>
    <t>Joyful Treats</t>
  </si>
  <si>
    <t>Passport Holder</t>
  </si>
  <si>
    <t>25-0779R</t>
  </si>
  <si>
    <t>25-0780</t>
  </si>
  <si>
    <t>World Legend Contracting</t>
  </si>
  <si>
    <t>25-0781</t>
  </si>
  <si>
    <t>Amazon Attestation &amp; Documents Clearing L.L.C</t>
  </si>
  <si>
    <t>Blazer, Pants, Formal shirt, Bow, Polo shirt and caps</t>
  </si>
  <si>
    <t>25-0782</t>
  </si>
  <si>
    <t>Fabric Wrist Band</t>
  </si>
  <si>
    <t>25-0783R</t>
  </si>
  <si>
    <t>PAN Home Logistics</t>
  </si>
  <si>
    <t>25-0784</t>
  </si>
  <si>
    <t>Business Card ( Precilla Dsouza )</t>
  </si>
  <si>
    <t>25-0785</t>
  </si>
  <si>
    <t>Mr. Cheikh Sidaty</t>
  </si>
  <si>
    <t>Track suits</t>
  </si>
  <si>
    <t>25-0786</t>
  </si>
  <si>
    <t>Mentors Gateway Document Services L.L.C</t>
  </si>
  <si>
    <t>Vinyl sticker pasting on wall and Lobby Glass Sticker</t>
  </si>
  <si>
    <t>25-0787</t>
  </si>
  <si>
    <t>Business Card  ( Daniel Caton )</t>
  </si>
  <si>
    <t>25-0788</t>
  </si>
  <si>
    <t>Nana Baffoh</t>
  </si>
  <si>
    <t>V-neck t shirts</t>
  </si>
  <si>
    <t>25-0789</t>
  </si>
  <si>
    <t>Ms. Aishwarya</t>
  </si>
  <si>
    <t>Scarves, Table Flag With Stand and Paper Bag</t>
  </si>
  <si>
    <t>25-0790</t>
  </si>
  <si>
    <t>Kraftique Kreations FZ-LLC</t>
  </si>
  <si>
    <t>25-0791</t>
  </si>
  <si>
    <t>Flyer, Rollup and Business card</t>
  </si>
  <si>
    <t>25-0792R1</t>
  </si>
  <si>
    <t>Invitation card and Envelope</t>
  </si>
  <si>
    <t>25-0793</t>
  </si>
  <si>
    <t>25-0794</t>
  </si>
  <si>
    <t>25-0795</t>
  </si>
  <si>
    <t>Kinder Castle Nursery</t>
  </si>
  <si>
    <t>A Board Signage</t>
  </si>
  <si>
    <t>DAKSH</t>
  </si>
  <si>
    <t>25-0796</t>
  </si>
  <si>
    <t>Netision Global Technologies LLC</t>
  </si>
  <si>
    <t>25-0797R</t>
  </si>
  <si>
    <t>Investmenter Real Estate LLC</t>
  </si>
  <si>
    <t>25-0798</t>
  </si>
  <si>
    <t>Metal Pen- Pecunia and Aurantius</t>
  </si>
  <si>
    <t>25-0799R</t>
  </si>
  <si>
    <t>Royex Technologies L.L.C</t>
  </si>
  <si>
    <t>25-0800</t>
  </si>
  <si>
    <t>25-0801</t>
  </si>
  <si>
    <t>25-0802</t>
  </si>
  <si>
    <t>25-0803</t>
  </si>
  <si>
    <t>Metal Badges and Scarfs</t>
  </si>
  <si>
    <t>25-0804</t>
  </si>
  <si>
    <t>Business Card  ( Sahul Hameed )</t>
  </si>
  <si>
    <t>25-0805</t>
  </si>
  <si>
    <t>25-0806</t>
  </si>
  <si>
    <t>25-0807</t>
  </si>
  <si>
    <t>Non-woven Shopping Bag (Vertical Black)</t>
  </si>
  <si>
    <t>25-0808R1</t>
  </si>
  <si>
    <t>Rollup banner, Backdrop, Acrylic table top, Desktop Rollup and Polo shirt</t>
  </si>
  <si>
    <t>25-0809</t>
  </si>
  <si>
    <t>Magic Colour Technical Services LLC</t>
  </si>
  <si>
    <t>Cargo pants</t>
  </si>
  <si>
    <t>25-0810</t>
  </si>
  <si>
    <t>Business Card  ( Jasim Albadi )</t>
  </si>
  <si>
    <t>25-0811</t>
  </si>
  <si>
    <t>Mr. Vijay Gomes</t>
  </si>
  <si>
    <t>Collapsible Box</t>
  </si>
  <si>
    <t>25-0812</t>
  </si>
  <si>
    <t>Plenary Middle East</t>
  </si>
  <si>
    <t>25-0813</t>
  </si>
  <si>
    <t>Mr. Sharbas</t>
  </si>
  <si>
    <t>Polo shirts and  Hoodie with Zipper</t>
  </si>
  <si>
    <t>25-0814R</t>
  </si>
  <si>
    <t>Baraka Events &amp; Décor</t>
  </si>
  <si>
    <t xml:space="preserve">Vinyl sticker on 5mm foamboard, Card,Tent Card and  Polo Shirt </t>
  </si>
  <si>
    <t>25-0815</t>
  </si>
  <si>
    <t>25-0816</t>
  </si>
  <si>
    <t>25-0817</t>
  </si>
  <si>
    <t>25-0818</t>
  </si>
  <si>
    <t>Gift Packaging Box  and A6 card</t>
  </si>
  <si>
    <t>25-0819</t>
  </si>
  <si>
    <t>Mr. Ayash</t>
  </si>
  <si>
    <t>Logo printing on coveralls, safety vest, Helmet sticker, Rollup banner and banner with eyelets</t>
  </si>
  <si>
    <t>25-0820R</t>
  </si>
  <si>
    <t>Itqara Interiors</t>
  </si>
  <si>
    <t>Polo shirt, NCR Book</t>
  </si>
  <si>
    <t>25-0821</t>
  </si>
  <si>
    <t>25-0822</t>
  </si>
  <si>
    <t>ID Cards</t>
  </si>
  <si>
    <t>25-0823</t>
  </si>
  <si>
    <t>Armenian Church</t>
  </si>
  <si>
    <t>Greeting Cards, Envelope and Raffle voucher</t>
  </si>
  <si>
    <t>25-0824</t>
  </si>
  <si>
    <t>25-0825</t>
  </si>
  <si>
    <t>Fabric Backrop</t>
  </si>
  <si>
    <t>25-0826R</t>
  </si>
  <si>
    <t>25-0827R</t>
  </si>
  <si>
    <t>Round neck T-shirts</t>
  </si>
  <si>
    <t>25-0828</t>
  </si>
  <si>
    <t>Calendar and Diary 2026</t>
  </si>
  <si>
    <t>25-0829</t>
  </si>
  <si>
    <t>Table flag - Libya</t>
  </si>
  <si>
    <t>25-0830</t>
  </si>
  <si>
    <t>Ground Floor Branding</t>
  </si>
  <si>
    <t>25-0831</t>
  </si>
  <si>
    <t>Goldstone Marble Co.</t>
  </si>
  <si>
    <t>Jackets and Safety Helmet</t>
  </si>
  <si>
    <t>25-0832</t>
  </si>
  <si>
    <t xml:space="preserve">Tear Drop Flag, Rollup Banner, Fabric Backdrop and  Photo frame </t>
  </si>
  <si>
    <t>25-0833</t>
  </si>
  <si>
    <t>25-0834</t>
  </si>
  <si>
    <t>Business Card  ( Sabha Surti )</t>
  </si>
  <si>
    <t>25-0835R</t>
  </si>
  <si>
    <t>Patient Profile Books and Paper sticker</t>
  </si>
  <si>
    <t>25-0836</t>
  </si>
  <si>
    <t>A5 PU Notebook, Plastic Pen and Calendar</t>
  </si>
  <si>
    <t>25-0837</t>
  </si>
  <si>
    <t xml:space="preserve">Passport Cover and Luggage Tag </t>
  </si>
  <si>
    <t>25-0838</t>
  </si>
  <si>
    <t>Lanyards and Thermal Paper Badge</t>
  </si>
  <si>
    <t>25-0839</t>
  </si>
  <si>
    <t>25-0840</t>
  </si>
  <si>
    <t>4C Integrated</t>
  </si>
  <si>
    <t>25-0841</t>
  </si>
  <si>
    <t>Finitor International L.L.C</t>
  </si>
  <si>
    <t>25-0842</t>
  </si>
  <si>
    <t>Business Card   ( Binoj James )</t>
  </si>
  <si>
    <t>25-0843</t>
  </si>
  <si>
    <t>Polo shirt (Customized)</t>
  </si>
  <si>
    <t>25-0844</t>
  </si>
  <si>
    <t>25-0845</t>
  </si>
  <si>
    <t>25-0846</t>
  </si>
  <si>
    <t>Mr. Ameen Shoeb</t>
  </si>
  <si>
    <t>Polo shirt and Safety Vest, Rollup banner</t>
  </si>
  <si>
    <t>25-0847</t>
  </si>
  <si>
    <t>25-0848</t>
  </si>
  <si>
    <t>LIV Global Travel LLC</t>
  </si>
  <si>
    <t>Polo Shirt and cap</t>
  </si>
  <si>
    <t>25-0849</t>
  </si>
  <si>
    <t>Wooden acrylic stand</t>
  </si>
  <si>
    <t>25-0850</t>
  </si>
  <si>
    <t>Oculus Middle East Contracting LLC</t>
  </si>
  <si>
    <t>Business cards and Letter Head</t>
  </si>
  <si>
    <t>25-0851</t>
  </si>
  <si>
    <t>25-0852</t>
  </si>
  <si>
    <t>Business card (Rashed Nasser)</t>
  </si>
  <si>
    <t>25-0853</t>
  </si>
  <si>
    <t>25-0854</t>
  </si>
  <si>
    <t>Plantable Ghaf Seed Pencil</t>
  </si>
  <si>
    <t>25-0855R</t>
  </si>
  <si>
    <t>Table Flag With Stand (Silver)</t>
  </si>
  <si>
    <t>25-0856</t>
  </si>
  <si>
    <t xml:space="preserve">Sea Zone Ship &amp; Boats Spare Parts Trading LLC </t>
  </si>
  <si>
    <t>Ship Captain Shirt , Captain cap and Safety vest</t>
  </si>
  <si>
    <t>25-0857R</t>
  </si>
  <si>
    <t>Crystal &amp; Marble Award</t>
  </si>
  <si>
    <t>25-0858</t>
  </si>
  <si>
    <t>25-0859</t>
  </si>
  <si>
    <t>Midland Hardware LLC</t>
  </si>
  <si>
    <t>25-0860</t>
  </si>
  <si>
    <t>Enrich Creations</t>
  </si>
  <si>
    <t>Custom Printed Boxes</t>
  </si>
  <si>
    <t>25-0861</t>
  </si>
  <si>
    <t>Roundneck T-shirt and cap</t>
  </si>
  <si>
    <t>25-0862</t>
  </si>
  <si>
    <t>Round neck T shirts</t>
  </si>
  <si>
    <t>25-0863</t>
  </si>
  <si>
    <t>Sea Zone Ship &amp; Boats Spare Parts Trading LLC</t>
  </si>
  <si>
    <t>Polo shirt, Business card, Shorts, Name badge and caps</t>
  </si>
  <si>
    <t>25-0864R3</t>
  </si>
  <si>
    <t>SR Resources FZC</t>
  </si>
  <si>
    <t>25-0865</t>
  </si>
  <si>
    <t>Business card  (Afsar Mohammed)</t>
  </si>
  <si>
    <t>25-0866</t>
  </si>
  <si>
    <t>St Mary's Konkani Community</t>
  </si>
  <si>
    <t>25-0867</t>
  </si>
  <si>
    <t>TISSOLI</t>
  </si>
  <si>
    <t>Envelope (C4 and DL)</t>
  </si>
  <si>
    <t>25-0868</t>
  </si>
  <si>
    <t>IDP Summit</t>
  </si>
  <si>
    <t>25-0869</t>
  </si>
  <si>
    <t>Extreme Line Engineering Consultancy</t>
  </si>
  <si>
    <t>Polo shirt, Safety vest and helmets</t>
  </si>
  <si>
    <t>25-0870</t>
  </si>
  <si>
    <t>Employee Welcome Set</t>
  </si>
  <si>
    <t>25-0871</t>
  </si>
  <si>
    <t>Wooden Plaques</t>
  </si>
  <si>
    <t>25-0872</t>
  </si>
  <si>
    <t>Electraedge Trading Co.L.L.C.</t>
  </si>
  <si>
    <t>Designing Charges and Business Card</t>
  </si>
  <si>
    <t>25-0873</t>
  </si>
  <si>
    <t>25-0874</t>
  </si>
  <si>
    <t>Business Cards  (Muataz Hamad)  (Ahmad Elazab)</t>
  </si>
  <si>
    <t>25-0875</t>
  </si>
  <si>
    <t>Business Cards  (Kevin Monteiro)</t>
  </si>
  <si>
    <t>25-0876</t>
  </si>
  <si>
    <t>Business Card  (Peter Verheijen)</t>
  </si>
  <si>
    <t>25-0877</t>
  </si>
  <si>
    <t>Business Card   (Omar Rishi)</t>
  </si>
  <si>
    <t>25-0878</t>
  </si>
  <si>
    <t>Legal Square</t>
  </si>
  <si>
    <t>Drinking Glasses</t>
  </si>
  <si>
    <t>25-0879</t>
  </si>
  <si>
    <t>Desk Calendar 2026</t>
  </si>
  <si>
    <t>25-0880</t>
  </si>
  <si>
    <t>business Card (Farid Belbouab)</t>
  </si>
  <si>
    <t>25-0881</t>
  </si>
  <si>
    <t>25-0882</t>
  </si>
  <si>
    <t>Mr. Niyaz Masood</t>
  </si>
  <si>
    <t>Banner with eyelets,  Forex board and Rollup banner</t>
  </si>
  <si>
    <t>25-0883</t>
  </si>
  <si>
    <t>Sample Cost for the drinking glasses</t>
  </si>
  <si>
    <t>25-0884R</t>
  </si>
  <si>
    <t>Top Bottom - Box</t>
  </si>
  <si>
    <t>25-0885</t>
  </si>
  <si>
    <t>Info Skills Professional &amp; Management Development Training LLC</t>
  </si>
  <si>
    <t>Bamboo Pen Holder with 15W Fast Wireless Charger and Cotton Drawstring Bag</t>
  </si>
  <si>
    <t>25-0886</t>
  </si>
  <si>
    <t>Printing Option 2 for Ground floor branding</t>
  </si>
  <si>
    <t>25-0887</t>
  </si>
  <si>
    <t>Business Card (Momentum) -  (Gini Johny)</t>
  </si>
  <si>
    <t>25-0888</t>
  </si>
  <si>
    <t>Business Card (Selvakumar)</t>
  </si>
  <si>
    <t>25-0889</t>
  </si>
  <si>
    <t>25-0890</t>
  </si>
  <si>
    <t>Polo Shirt and Sporty Grey Pants</t>
  </si>
  <si>
    <t>25-0891</t>
  </si>
  <si>
    <t>Mr. Vijay</t>
  </si>
  <si>
    <t>Honey Jar</t>
  </si>
  <si>
    <t>25-0892</t>
  </si>
  <si>
    <t>25-0893</t>
  </si>
  <si>
    <t>Abra Construction</t>
  </si>
  <si>
    <t>25-0894</t>
  </si>
  <si>
    <t>Greeting Cards</t>
  </si>
  <si>
    <t>25-0895</t>
  </si>
  <si>
    <t>Lucknow Restaurant</t>
  </si>
  <si>
    <t>Long Sleeve Chef Coat, Cap and Aprons</t>
  </si>
  <si>
    <t>25-0896</t>
  </si>
  <si>
    <t>Letter Head</t>
  </si>
  <si>
    <t>25-0897</t>
  </si>
  <si>
    <t>25-0898</t>
  </si>
  <si>
    <t>Ms. Karishma Joshi</t>
  </si>
  <si>
    <t>25-0899</t>
  </si>
  <si>
    <t>Sandwich signgae and Frosted sticker</t>
  </si>
  <si>
    <t>25-0900</t>
  </si>
  <si>
    <t>Business cards  (Lydia Geetika)</t>
  </si>
  <si>
    <t>25-0901</t>
  </si>
  <si>
    <t xml:space="preserve"> Roll up banner and Poster</t>
  </si>
  <si>
    <t>25-0902</t>
  </si>
  <si>
    <t>Business Card  (Prashant Jagadish)</t>
  </si>
  <si>
    <t>25-0903R</t>
  </si>
  <si>
    <t>Mr. Vijay Gome</t>
  </si>
  <si>
    <t>25-0904</t>
  </si>
  <si>
    <t>A4 Book</t>
  </si>
  <si>
    <t>25-0905</t>
  </si>
  <si>
    <t>Business Card (Konstantin Kryazhevskikh)</t>
  </si>
  <si>
    <t>25-0906</t>
  </si>
  <si>
    <t>Chef Coat</t>
  </si>
  <si>
    <t>25-0907</t>
  </si>
  <si>
    <t>Fancy frame with poster</t>
  </si>
  <si>
    <t>25-0908</t>
  </si>
  <si>
    <t>Ms. Rashed</t>
  </si>
  <si>
    <t>Aprons, Hoodie and Tyvek Band</t>
  </si>
  <si>
    <t>25-0909R</t>
  </si>
  <si>
    <t>Ms. Kalpa Medarametla</t>
  </si>
  <si>
    <t>Brochure and Bag</t>
  </si>
  <si>
    <t>25-0910</t>
  </si>
  <si>
    <t>Ms. Anuja J Varma</t>
  </si>
  <si>
    <t>Coffee Table Book</t>
  </si>
  <si>
    <t>25-0911R</t>
  </si>
  <si>
    <t>Metal Name Signage</t>
  </si>
  <si>
    <t>25-0912</t>
  </si>
  <si>
    <t>Mr. Deepak Kriplani</t>
  </si>
  <si>
    <t>25-0913</t>
  </si>
  <si>
    <t>25-0914</t>
  </si>
  <si>
    <t>Gift Hamper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</si>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</sst>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d\-mmm\-yy;@"/>
    <numFmt numFmtId="165" formatCode="[$-409]dd\-mmm\-yy;@"/>
    <numFmt numFmtId="166" formatCode="_(* #,##0.000_);_(* \(#,##0.000\);_(* &quot;-&quot;???_);_(@_)"/>
    <numFmt numFmtId="167" formatCode="_(* #,##0.0000_);_(* \(#,##0.0000\);_(* &quot;-&quot;????_);_(@_)"/>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sz val="11"/>
      <color rgb="FF000000"/>
      <name val="Calibri"/>
      <family val="2"/>
    </font>
    <font>
      <sz val="11"/>
      <color rgb="FF000000"/>
      <name val="Aptos Narrow"/>
      <family val="2"/>
      <scheme val="minor"/>
    </font>
    <font>
      <sz val="10"/>
      <color theme="1"/>
      <name val="Aptos Narrow"/>
      <family val="2"/>
      <scheme val="minor"/>
    </font>
    <font>
      <sz val="10"/>
      <color rgb="FF000000"/>
      <name val="Calibri"/>
      <family val="2"/>
    </font>
  </fonts>
  <fills count="12">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65">
    <xf numFmtId="0" fontId="0" fillId="0" borderId="0" xfId="0"/>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vertical="center"/>
    </xf>
    <xf numFmtId="43" fontId="2" fillId="2" borderId="4" xfId="1" applyFont="1" applyFill="1" applyBorder="1" applyAlignment="1">
      <alignment horizontal="center" vertical="center"/>
    </xf>
    <xf numFmtId="43" fontId="2" fillId="2" borderId="1" xfId="1" applyFont="1" applyFill="1" applyBorder="1" applyAlignment="1">
      <alignment horizontal="center" vertical="center"/>
    </xf>
    <xf numFmtId="0" fontId="0" fillId="0" borderId="0" xfId="0" applyAlignment="1">
      <alignment horizontal="center"/>
    </xf>
    <xf numFmtId="0" fontId="0" fillId="3" borderId="5" xfId="0" applyFill="1" applyBorder="1" applyAlignment="1">
      <alignment horizontal="center"/>
    </xf>
    <xf numFmtId="165" fontId="0" fillId="3" borderId="5" xfId="0" applyNumberFormat="1" applyFill="1" applyBorder="1" applyAlignment="1">
      <alignment horizontal="center" vertical="center"/>
    </xf>
    <xf numFmtId="0" fontId="0" fillId="0" borderId="5" xfId="0" applyBorder="1"/>
    <xf numFmtId="0" fontId="0" fillId="3" borderId="1" xfId="0" applyFill="1" applyBorder="1" applyAlignment="1">
      <alignment horizontal="center"/>
    </xf>
    <xf numFmtId="0" fontId="0" fillId="0" borderId="1" xfId="0" applyBorder="1"/>
    <xf numFmtId="43" fontId="0" fillId="3" borderId="1" xfId="1" applyFont="1" applyFill="1" applyBorder="1" applyAlignment="1">
      <alignment horizontal="center"/>
    </xf>
    <xf numFmtId="43" fontId="0" fillId="3" borderId="5" xfId="1" applyFont="1" applyFill="1" applyBorder="1" applyAlignment="1"/>
    <xf numFmtId="0" fontId="0" fillId="3" borderId="0" xfId="0" applyFill="1"/>
    <xf numFmtId="165" fontId="0" fillId="3" borderId="1" xfId="0" applyNumberFormat="1" applyFill="1" applyBorder="1" applyAlignment="1">
      <alignment horizontal="center" vertical="center"/>
    </xf>
    <xf numFmtId="0" fontId="0" fillId="3" borderId="1" xfId="0" applyFill="1" applyBorder="1" applyAlignment="1">
      <alignment horizontal="left"/>
    </xf>
    <xf numFmtId="0" fontId="0" fillId="3" borderId="1" xfId="0" applyFill="1" applyBorder="1" applyAlignment="1">
      <alignment horizontal="left" wrapText="1"/>
    </xf>
    <xf numFmtId="0" fontId="0" fillId="3" borderId="1" xfId="0" applyFill="1" applyBorder="1" applyAlignment="1">
      <alignment horizontal="center" vertical="center"/>
    </xf>
    <xf numFmtId="0" fontId="0" fillId="3" borderId="6" xfId="0" applyFill="1" applyBorder="1" applyAlignment="1">
      <alignment horizontal="center"/>
    </xf>
    <xf numFmtId="165" fontId="0" fillId="3" borderId="6" xfId="0" applyNumberFormat="1" applyFill="1" applyBorder="1" applyAlignment="1">
      <alignment horizontal="center" vertical="center"/>
    </xf>
    <xf numFmtId="43" fontId="0" fillId="3" borderId="6" xfId="1" applyFont="1" applyFill="1" applyBorder="1" applyAlignment="1">
      <alignment horizontal="center"/>
    </xf>
    <xf numFmtId="0" fontId="0" fillId="3" borderId="1" xfId="0" applyFill="1" applyBorder="1"/>
    <xf numFmtId="43" fontId="0" fillId="3" borderId="1" xfId="1" applyFont="1" applyFill="1" applyBorder="1"/>
    <xf numFmtId="0" fontId="0" fillId="3" borderId="1" xfId="0" applyFill="1" applyBorder="1" applyAlignment="1">
      <alignment horizontal="center" vertical="top"/>
    </xf>
    <xf numFmtId="165" fontId="0" fillId="3" borderId="1" xfId="0" applyNumberFormat="1" applyFill="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43" fontId="0" fillId="3" borderId="1" xfId="1" applyFont="1" applyFill="1" applyBorder="1" applyAlignment="1">
      <alignment vertical="top"/>
    </xf>
    <xf numFmtId="43" fontId="0" fillId="3" borderId="1" xfId="1" applyFont="1" applyFill="1" applyBorder="1" applyAlignment="1">
      <alignment horizontal="center" vertical="top"/>
    </xf>
    <xf numFmtId="0" fontId="0" fillId="3" borderId="1" xfId="0" applyFill="1" applyBorder="1" applyAlignment="1">
      <alignment wrapText="1"/>
    </xf>
    <xf numFmtId="0" fontId="0" fillId="0" borderId="1" xfId="0" applyBorder="1" applyAlignment="1">
      <alignment vertical="center"/>
    </xf>
    <xf numFmtId="0" fontId="0" fillId="0" borderId="1" xfId="0" applyBorder="1" applyAlignment="1">
      <alignment vertical="center" wrapText="1"/>
    </xf>
    <xf numFmtId="43" fontId="0" fillId="3" borderId="1" xfId="1" applyFont="1" applyFill="1" applyBorder="1" applyAlignment="1">
      <alignment vertical="center"/>
    </xf>
    <xf numFmtId="43" fontId="0" fillId="3" borderId="1" xfId="1" applyFont="1" applyFill="1" applyBorder="1" applyAlignment="1">
      <alignment horizontal="center" vertical="center"/>
    </xf>
    <xf numFmtId="0" fontId="0" fillId="3" borderId="1" xfId="0" applyFill="1" applyBorder="1" applyAlignment="1">
      <alignment horizontal="center" vertical="top" wrapText="1"/>
    </xf>
    <xf numFmtId="165" fontId="0" fillId="3" borderId="1" xfId="0" applyNumberFormat="1" applyFill="1" applyBorder="1" applyAlignment="1">
      <alignment horizontal="center" vertical="top" wrapText="1"/>
    </xf>
    <xf numFmtId="0" fontId="0" fillId="3" borderId="1" xfId="0" applyFill="1" applyBorder="1" applyAlignment="1">
      <alignment horizontal="left" vertical="top" wrapText="1"/>
    </xf>
    <xf numFmtId="43" fontId="0" fillId="3" borderId="1" xfId="1" applyFont="1" applyFill="1" applyBorder="1" applyAlignment="1">
      <alignment vertical="top" wrapText="1"/>
    </xf>
    <xf numFmtId="43" fontId="0" fillId="3" borderId="1" xfId="1" applyFont="1" applyFill="1" applyBorder="1" applyAlignment="1">
      <alignment horizontal="center" vertical="top" wrapText="1"/>
    </xf>
    <xf numFmtId="0" fontId="0" fillId="3" borderId="0" xfId="0" applyFill="1" applyAlignment="1">
      <alignment wrapText="1"/>
    </xf>
    <xf numFmtId="166" fontId="0" fillId="3" borderId="1" xfId="1" applyNumberFormat="1" applyFont="1" applyFill="1" applyBorder="1"/>
    <xf numFmtId="0" fontId="0" fillId="3" borderId="1" xfId="0" applyFill="1" applyBorder="1" applyAlignment="1">
      <alignment vertical="top"/>
    </xf>
    <xf numFmtId="0" fontId="0" fillId="3" borderId="1" xfId="0" applyFill="1" applyBorder="1" applyAlignment="1">
      <alignment vertical="top" wrapText="1"/>
    </xf>
    <xf numFmtId="0" fontId="5" fillId="3" borderId="1" xfId="0" applyFont="1" applyFill="1" applyBorder="1" applyAlignment="1">
      <alignment horizontal="center"/>
    </xf>
    <xf numFmtId="0" fontId="5" fillId="3" borderId="0" xfId="0" applyFont="1" applyFill="1"/>
    <xf numFmtId="0" fontId="5" fillId="3" borderId="1" xfId="0" applyFont="1" applyFill="1" applyBorder="1"/>
    <xf numFmtId="0" fontId="6" fillId="3" borderId="1" xfId="0" applyFont="1" applyFill="1" applyBorder="1" applyAlignment="1">
      <alignment vertical="center"/>
    </xf>
    <xf numFmtId="0" fontId="7" fillId="3" borderId="1" xfId="0" applyFont="1" applyFill="1" applyBorder="1"/>
    <xf numFmtId="0" fontId="0" fillId="3" borderId="1" xfId="0" applyFill="1" applyBorder="1" applyAlignment="1">
      <alignment horizontal="left" vertical="center"/>
    </xf>
    <xf numFmtId="43" fontId="0" fillId="3" borderId="1" xfId="1" applyFont="1" applyFill="1" applyBorder="1" applyAlignment="1">
      <alignment horizontal="right"/>
    </xf>
    <xf numFmtId="0" fontId="0" fillId="3" borderId="1" xfId="1" applyNumberFormat="1" applyFont="1" applyFill="1" applyBorder="1" applyAlignment="1">
      <alignment horizontal="center"/>
    </xf>
    <xf numFmtId="166" fontId="0" fillId="3" borderId="1" xfId="1" applyNumberFormat="1" applyFont="1" applyFill="1" applyBorder="1" applyAlignment="1">
      <alignment horizontal="right"/>
    </xf>
    <xf numFmtId="165" fontId="0" fillId="3" borderId="1" xfId="0" applyNumberFormat="1" applyFill="1" applyBorder="1" applyAlignment="1">
      <alignment horizontal="left" vertical="top"/>
    </xf>
    <xf numFmtId="43" fontId="5" fillId="3" borderId="1" xfId="1" applyFont="1" applyFill="1" applyBorder="1"/>
    <xf numFmtId="0" fontId="5" fillId="3" borderId="1" xfId="0" applyFont="1" applyFill="1" applyBorder="1" applyAlignment="1">
      <alignment horizontal="center" vertical="center"/>
    </xf>
    <xf numFmtId="0" fontId="4" fillId="3" borderId="1" xfId="0" applyFont="1" applyFill="1" applyBorder="1"/>
    <xf numFmtId="166" fontId="0" fillId="3" borderId="1" xfId="1" applyNumberFormat="1" applyFont="1" applyFill="1" applyBorder="1" applyAlignment="1">
      <alignment horizontal="center"/>
    </xf>
    <xf numFmtId="0" fontId="0" fillId="4" borderId="1" xfId="0" applyFill="1" applyBorder="1" applyAlignment="1">
      <alignment horizontal="center"/>
    </xf>
    <xf numFmtId="165" fontId="0" fillId="4" borderId="1" xfId="0" applyNumberFormat="1" applyFill="1" applyBorder="1" applyAlignment="1">
      <alignment horizontal="center" vertical="top"/>
    </xf>
    <xf numFmtId="43" fontId="0" fillId="3" borderId="0" xfId="1" applyFont="1" applyFill="1"/>
    <xf numFmtId="0" fontId="0" fillId="3" borderId="1" xfId="0" applyFill="1" applyBorder="1" applyAlignment="1">
      <alignment horizontal="center" wrapText="1"/>
    </xf>
    <xf numFmtId="3" fontId="0" fillId="3" borderId="1" xfId="0" applyNumberFormat="1" applyFill="1" applyBorder="1" applyAlignment="1">
      <alignment horizontal="center"/>
    </xf>
    <xf numFmtId="3" fontId="0" fillId="3" borderId="1" xfId="0" applyNumberFormat="1" applyFill="1" applyBorder="1" applyAlignment="1">
      <alignment horizontal="center" wrapText="1"/>
    </xf>
    <xf numFmtId="4" fontId="0" fillId="0" borderId="0" xfId="0" applyNumberFormat="1"/>
    <xf numFmtId="0" fontId="0" fillId="4" borderId="1" xfId="0" applyFill="1" applyBorder="1"/>
    <xf numFmtId="0" fontId="0" fillId="0" borderId="1" xfId="0" applyBorder="1" applyAlignment="1">
      <alignment horizontal="center"/>
    </xf>
    <xf numFmtId="165" fontId="5" fillId="3" borderId="1" xfId="0" applyNumberFormat="1" applyFont="1" applyFill="1" applyBorder="1" applyAlignment="1">
      <alignment horizontal="center" vertical="center"/>
    </xf>
    <xf numFmtId="43" fontId="5" fillId="3" borderId="1" xfId="1" applyFont="1" applyFill="1" applyBorder="1" applyAlignment="1">
      <alignment horizontal="center"/>
    </xf>
    <xf numFmtId="0" fontId="0" fillId="4" borderId="0" xfId="0" applyFill="1"/>
    <xf numFmtId="43" fontId="0" fillId="0" borderId="1" xfId="1" applyFont="1" applyFill="1" applyBorder="1"/>
    <xf numFmtId="43" fontId="0" fillId="0" borderId="1" xfId="1" applyFont="1" applyFill="1" applyBorder="1" applyAlignment="1">
      <alignment horizontal="center"/>
    </xf>
    <xf numFmtId="0" fontId="0" fillId="0" borderId="1" xfId="0" applyBorder="1" applyAlignment="1">
      <alignment horizontal="center" vertical="center"/>
    </xf>
    <xf numFmtId="43" fontId="0" fillId="5" borderId="1" xfId="1" applyFont="1" applyFill="1" applyBorder="1" applyAlignment="1">
      <alignment horizontal="center"/>
    </xf>
    <xf numFmtId="0" fontId="3" fillId="0" borderId="1" xfId="0" applyFont="1" applyBorder="1" applyAlignment="1">
      <alignment horizontal="center" vertical="center"/>
    </xf>
    <xf numFmtId="4" fontId="0" fillId="0" borderId="1" xfId="0" applyNumberFormat="1" applyBorder="1"/>
    <xf numFmtId="4" fontId="0" fillId="3" borderId="1" xfId="0" applyNumberFormat="1" applyFill="1" applyBorder="1"/>
    <xf numFmtId="0" fontId="8" fillId="3" borderId="0" xfId="0" applyFont="1" applyFill="1"/>
    <xf numFmtId="3" fontId="8" fillId="3" borderId="0" xfId="0" applyNumberFormat="1" applyFont="1" applyFill="1" applyAlignment="1">
      <alignment horizontal="center"/>
    </xf>
    <xf numFmtId="43" fontId="0" fillId="0" borderId="1" xfId="1" applyFont="1" applyBorder="1"/>
    <xf numFmtId="0" fontId="0" fillId="6" borderId="1" xfId="0" applyFill="1" applyBorder="1"/>
    <xf numFmtId="0" fontId="0" fillId="7" borderId="1" xfId="0" applyFill="1" applyBorder="1" applyAlignment="1">
      <alignment horizontal="center"/>
    </xf>
    <xf numFmtId="165" fontId="0" fillId="7" borderId="1" xfId="0" applyNumberFormat="1" applyFill="1" applyBorder="1" applyAlignment="1">
      <alignment horizontal="center" vertical="center"/>
    </xf>
    <xf numFmtId="0" fontId="0" fillId="7" borderId="1" xfId="0" applyFill="1" applyBorder="1"/>
    <xf numFmtId="43" fontId="0" fillId="7" borderId="1" xfId="1" applyFont="1" applyFill="1" applyBorder="1" applyAlignment="1">
      <alignment horizontal="center"/>
    </xf>
    <xf numFmtId="0" fontId="0" fillId="7" borderId="0" xfId="0" applyFill="1" applyAlignment="1">
      <alignment horizontal="center"/>
    </xf>
    <xf numFmtId="166" fontId="0" fillId="0" borderId="1" xfId="1" applyNumberFormat="1" applyFont="1" applyFill="1" applyBorder="1"/>
    <xf numFmtId="0" fontId="0" fillId="0" borderId="6" xfId="0" applyBorder="1" applyAlignment="1">
      <alignment horizontal="center"/>
    </xf>
    <xf numFmtId="15" fontId="0" fillId="0" borderId="1" xfId="0" applyNumberFormat="1" applyBorder="1" applyAlignment="1">
      <alignment horizontal="center"/>
    </xf>
    <xf numFmtId="0" fontId="0" fillId="8" borderId="1" xfId="0" applyFill="1" applyBorder="1" applyAlignment="1">
      <alignment horizontal="center"/>
    </xf>
    <xf numFmtId="0" fontId="0" fillId="6" borderId="0" xfId="0" applyFill="1"/>
    <xf numFmtId="43" fontId="0" fillId="0" borderId="6" xfId="1" applyFont="1" applyFill="1" applyBorder="1"/>
    <xf numFmtId="43" fontId="0" fillId="0" borderId="6" xfId="1" applyFont="1" applyFill="1" applyBorder="1" applyAlignment="1">
      <alignment horizontal="center"/>
    </xf>
    <xf numFmtId="0" fontId="0" fillId="0" borderId="6" xfId="0" applyBorder="1" applyAlignment="1">
      <alignment horizontal="center" vertical="center"/>
    </xf>
    <xf numFmtId="0" fontId="0" fillId="8" borderId="1" xfId="0" applyFill="1" applyBorder="1"/>
    <xf numFmtId="0" fontId="0" fillId="8" borderId="1" xfId="0" applyFill="1" applyBorder="1" applyAlignment="1">
      <alignment horizontal="center" vertical="center"/>
    </xf>
    <xf numFmtId="0" fontId="0" fillId="9" borderId="1" xfId="0" applyFill="1" applyBorder="1"/>
    <xf numFmtId="0" fontId="0" fillId="0" borderId="1" xfId="0" applyBorder="1" applyAlignment="1">
      <alignment wrapText="1"/>
    </xf>
    <xf numFmtId="0" fontId="0" fillId="0" borderId="3" xfId="0" applyBorder="1" applyAlignment="1">
      <alignment horizontal="center"/>
    </xf>
    <xf numFmtId="167" fontId="0" fillId="3" borderId="1" xfId="1" applyNumberFormat="1" applyFont="1" applyFill="1" applyBorder="1"/>
    <xf numFmtId="15" fontId="0" fillId="0" borderId="6" xfId="0" applyNumberFormat="1" applyBorder="1" applyAlignment="1">
      <alignment horizontal="center"/>
    </xf>
    <xf numFmtId="0" fontId="0" fillId="0" borderId="6" xfId="0" applyBorder="1"/>
    <xf numFmtId="0" fontId="0" fillId="3" borderId="3" xfId="0" applyFill="1" applyBorder="1" applyAlignment="1">
      <alignment horizontal="center"/>
    </xf>
    <xf numFmtId="15" fontId="0" fillId="7" borderId="1" xfId="0" applyNumberFormat="1" applyFill="1" applyBorder="1" applyAlignment="1">
      <alignment horizontal="center"/>
    </xf>
    <xf numFmtId="165" fontId="0" fillId="3" borderId="1" xfId="0" applyNumberFormat="1" applyFill="1" applyBorder="1" applyAlignment="1">
      <alignment horizontal="center" wrapText="1"/>
    </xf>
    <xf numFmtId="15" fontId="0" fillId="3" borderId="1" xfId="0" applyNumberFormat="1" applyFill="1" applyBorder="1" applyAlignment="1">
      <alignment horizontal="center"/>
    </xf>
    <xf numFmtId="0" fontId="8" fillId="0" borderId="1" xfId="0" applyFont="1" applyBorder="1"/>
    <xf numFmtId="0" fontId="9" fillId="0" borderId="1" xfId="0" applyFont="1" applyBorder="1" applyAlignment="1">
      <alignment vertical="center"/>
    </xf>
    <xf numFmtId="165" fontId="0" fillId="0" borderId="1" xfId="0" applyNumberFormat="1" applyBorder="1" applyAlignment="1">
      <alignment horizontal="center" wrapText="1"/>
    </xf>
    <xf numFmtId="0" fontId="0" fillId="0" borderId="1" xfId="0" applyBorder="1" applyAlignment="1">
      <alignment horizontal="center" wrapText="1"/>
    </xf>
    <xf numFmtId="43" fontId="0" fillId="10" borderId="1" xfId="1" applyFont="1" applyFill="1" applyBorder="1" applyAlignment="1">
      <alignment horizontal="center"/>
    </xf>
    <xf numFmtId="0" fontId="0" fillId="10" borderId="1" xfId="0" applyFill="1" applyBorder="1" applyAlignment="1">
      <alignment horizontal="center"/>
    </xf>
    <xf numFmtId="43" fontId="0" fillId="0" borderId="1" xfId="1" applyFont="1" applyFill="1" applyBorder="1" applyAlignment="1"/>
    <xf numFmtId="43" fontId="0" fillId="3" borderId="1" xfId="1" applyFont="1" applyFill="1" applyBorder="1" applyAlignment="1"/>
    <xf numFmtId="43" fontId="0" fillId="0" borderId="1" xfId="0" applyNumberFormat="1" applyBorder="1"/>
    <xf numFmtId="43" fontId="0" fillId="0" borderId="0" xfId="2" applyNumberFormat="1" applyFont="1"/>
    <xf numFmtId="43" fontId="0" fillId="0" borderId="0" xfId="0" applyNumberFormat="1"/>
    <xf numFmtId="43" fontId="0" fillId="0" borderId="6" xfId="0" applyNumberFormat="1" applyBorder="1"/>
    <xf numFmtId="43" fontId="0" fillId="5" borderId="1" xfId="0" applyNumberFormat="1" applyFill="1" applyBorder="1"/>
    <xf numFmtId="165" fontId="0" fillId="3" borderId="4" xfId="0" applyNumberFormat="1" applyFill="1" applyBorder="1" applyAlignment="1">
      <alignment horizontal="center" wrapText="1"/>
    </xf>
    <xf numFmtId="0" fontId="0" fillId="3" borderId="3" xfId="0" applyFill="1" applyBorder="1"/>
    <xf numFmtId="43" fontId="0" fillId="0" borderId="1" xfId="2" applyNumberFormat="1" applyFont="1" applyBorder="1"/>
    <xf numFmtId="0" fontId="8" fillId="3" borderId="1" xfId="0" applyFont="1" applyFill="1" applyBorder="1"/>
    <xf numFmtId="0" fontId="0" fillId="3" borderId="2" xfId="0" applyFill="1" applyBorder="1" applyAlignment="1">
      <alignment horizontal="center"/>
    </xf>
    <xf numFmtId="43" fontId="0" fillId="3" borderId="4" xfId="1" applyFont="1" applyFill="1" applyBorder="1"/>
    <xf numFmtId="0" fontId="0" fillId="0" borderId="7" xfId="0" applyBorder="1" applyAlignment="1">
      <alignment horizontal="center"/>
    </xf>
    <xf numFmtId="0" fontId="0" fillId="0" borderId="5" xfId="0" applyBorder="1" applyAlignment="1">
      <alignment horizontal="center"/>
    </xf>
    <xf numFmtId="165" fontId="0" fillId="3" borderId="5" xfId="0" applyNumberFormat="1" applyFill="1" applyBorder="1" applyAlignment="1">
      <alignment horizontal="center" wrapText="1"/>
    </xf>
    <xf numFmtId="43" fontId="0" fillId="0" borderId="5" xfId="0" applyNumberFormat="1" applyBorder="1"/>
    <xf numFmtId="43" fontId="0" fillId="4" borderId="1" xfId="0" applyNumberFormat="1" applyFill="1" applyBorder="1"/>
    <xf numFmtId="0" fontId="6" fillId="0" borderId="0" xfId="0" applyFont="1" applyAlignment="1">
      <alignment vertical="center"/>
    </xf>
    <xf numFmtId="0" fontId="0" fillId="5" borderId="1" xfId="0" applyFill="1" applyBorder="1"/>
    <xf numFmtId="2" fontId="0" fillId="0" borderId="0" xfId="0" applyNumberFormat="1"/>
    <xf numFmtId="43" fontId="0" fillId="0" borderId="0" xfId="1" applyFont="1" applyAlignment="1">
      <alignment horizontal="right"/>
    </xf>
    <xf numFmtId="0" fontId="0" fillId="3" borderId="3" xfId="0" applyFill="1" applyBorder="1" applyAlignment="1">
      <alignment horizontal="center" vertical="center"/>
    </xf>
    <xf numFmtId="0" fontId="0" fillId="0" borderId="2" xfId="0" applyBorder="1" applyAlignment="1">
      <alignment horizontal="center"/>
    </xf>
    <xf numFmtId="0" fontId="0" fillId="0" borderId="3" xfId="0" applyBorder="1" applyAlignment="1">
      <alignment wrapText="1"/>
    </xf>
    <xf numFmtId="43" fontId="0" fillId="0" borderId="4" xfId="1" applyFont="1" applyFill="1" applyBorder="1"/>
    <xf numFmtId="43" fontId="0" fillId="0" borderId="5" xfId="1" applyFont="1" applyFill="1" applyBorder="1" applyAlignment="1">
      <alignment horizontal="center"/>
    </xf>
    <xf numFmtId="43" fontId="0" fillId="4" borderId="1" xfId="1" applyFont="1" applyFill="1" applyBorder="1" applyAlignment="1">
      <alignment horizontal="center"/>
    </xf>
    <xf numFmtId="43" fontId="3" fillId="0" borderId="5" xfId="1" applyFont="1" applyFill="1" applyBorder="1" applyAlignment="1">
      <alignment horizontal="center"/>
    </xf>
    <xf numFmtId="43" fontId="0" fillId="0" borderId="4" xfId="1" applyFont="1" applyFill="1" applyBorder="1" applyAlignment="1">
      <alignment horizontal="center"/>
    </xf>
    <xf numFmtId="0" fontId="0" fillId="0" borderId="3" xfId="0" applyBorder="1" applyAlignment="1">
      <alignment horizontal="center" vertical="center"/>
    </xf>
    <xf numFmtId="43" fontId="0" fillId="0" borderId="0" xfId="1" applyFont="1" applyFill="1"/>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xf numFmtId="15" fontId="0" fillId="0" borderId="0" xfId="0" applyNumberFormat="1" applyAlignment="1">
      <alignment horizontal="center" vertical="center"/>
    </xf>
    <xf numFmtId="0" fontId="0" fillId="3" borderId="4" xfId="0" applyFill="1" applyBorder="1" applyAlignment="1">
      <alignment horizontal="center"/>
    </xf>
    <xf numFmtId="0" fontId="0" fillId="0" borderId="4" xfId="0" applyBorder="1" applyAlignment="1">
      <alignment horizontal="center"/>
    </xf>
    <xf numFmtId="0" fontId="5" fillId="11" borderId="1" xfId="0" applyFont="1" applyFill="1" applyBorder="1" applyAlignment="1">
      <alignment horizontal="center"/>
    </xf>
    <xf numFmtId="165" fontId="0" fillId="11" borderId="4" xfId="0" applyNumberFormat="1" applyFill="1" applyBorder="1" applyAlignment="1">
      <alignment horizontal="center" wrapText="1"/>
    </xf>
    <xf numFmtId="0" fontId="0" fillId="11" borderId="1" xfId="0" applyFill="1" applyBorder="1"/>
    <xf numFmtId="43" fontId="0" fillId="11" borderId="1" xfId="1" applyFont="1" applyFill="1" applyBorder="1" applyAlignment="1">
      <alignment horizontal="center"/>
    </xf>
    <xf numFmtId="0" fontId="0" fillId="11" borderId="6" xfId="0" applyFill="1" applyBorder="1" applyAlignment="1">
      <alignment horizontal="center"/>
    </xf>
    <xf numFmtId="0" fontId="0" fillId="11" borderId="1" xfId="0" applyFill="1" applyBorder="1" applyAlignment="1">
      <alignment horizontal="center"/>
    </xf>
    <xf numFmtId="43" fontId="0" fillId="11" borderId="1" xfId="1" applyFont="1" applyFill="1" applyBorder="1"/>
    <xf numFmtId="165" fontId="0" fillId="3" borderId="9" xfId="0" applyNumberFormat="1" applyFill="1" applyBorder="1" applyAlignment="1">
      <alignment horizontal="center" wrapText="1"/>
    </xf>
    <xf numFmtId="0" fontId="5" fillId="3" borderId="4" xfId="0" applyFont="1" applyFill="1" applyBorder="1" applyAlignment="1">
      <alignment horizontal="center"/>
    </xf>
    <xf numFmtId="165" fontId="0" fillId="3" borderId="10" xfId="0" applyNumberFormat="1" applyFill="1" applyBorder="1" applyAlignment="1">
      <alignment horizontal="center" wrapText="1"/>
    </xf>
    <xf numFmtId="43" fontId="0" fillId="0" borderId="8" xfId="1" applyFont="1" applyFill="1" applyBorder="1" applyAlignment="1">
      <alignment horizontal="center"/>
    </xf>
    <xf numFmtId="165" fontId="0" fillId="3" borderId="11" xfId="0" applyNumberFormat="1" applyFill="1" applyBorder="1" applyAlignment="1">
      <alignment horizontal="center" wrapText="1"/>
    </xf>
    <xf numFmtId="0" fontId="0" fillId="0" borderId="3" xfId="0" applyBorder="1"/>
    <xf numFmtId="43" fontId="4" fillId="0" borderId="1" xfId="1"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98A9-B7D2-459D-93ED-69D7C0184E52}">
  <dimension ref="B2:AV2196"/>
  <sheetViews>
    <sheetView tabSelected="1" workbookViewId="0">
      <selection activeCell="O7" sqref="O7"/>
    </sheetView>
  </sheetViews>
  <sheetFormatPr defaultRowHeight="15" x14ac:dyDescent="0.25"/>
  <cols>
    <col min="1" max="1" width="3.85546875" customWidth="1"/>
    <col min="2" max="2" width="20" bestFit="1" customWidth="1"/>
    <col min="3" max="3" width="22.42578125" style="145" customWidth="1"/>
    <col min="4" max="4" width="38" customWidth="1"/>
    <col min="5" max="5" width="14.42578125" style="7" hidden="1" customWidth="1"/>
    <col min="6" max="6" width="58.28515625" customWidth="1"/>
    <col min="7" max="7" width="70.42578125" hidden="1" customWidth="1"/>
    <col min="8" max="8" width="21.140625" style="7" hidden="1" customWidth="1"/>
    <col min="9" max="9" width="16.42578125" style="144" hidden="1" customWidth="1"/>
    <col min="10" max="10" width="21.5703125" style="144" bestFit="1" customWidth="1"/>
    <col min="11" max="11" width="18.85546875" style="7" customWidth="1"/>
    <col min="12" max="12" width="24" style="145" hidden="1" customWidth="1"/>
    <col min="13" max="13" width="12.85546875" style="7" customWidth="1"/>
  </cols>
  <sheetData>
    <row r="2" spans="2:13" s="7" customFormat="1" ht="15" customHeight="1" x14ac:dyDescent="0.25">
      <c r="B2" s="1" t="s">
        <v>0</v>
      </c>
      <c r="C2" s="2" t="s">
        <v>1</v>
      </c>
      <c r="D2" s="1" t="s">
        <v>2</v>
      </c>
      <c r="E2" s="3" t="s">
        <v>3</v>
      </c>
      <c r="F2" s="1" t="s">
        <v>4</v>
      </c>
      <c r="G2" s="4" t="s">
        <v>5</v>
      </c>
      <c r="H2" s="1" t="s">
        <v>6</v>
      </c>
      <c r="I2" s="5" t="s">
        <v>7</v>
      </c>
      <c r="J2" s="6" t="s">
        <v>8</v>
      </c>
      <c r="K2" s="4" t="s">
        <v>9</v>
      </c>
      <c r="L2" s="1" t="s">
        <v>10</v>
      </c>
      <c r="M2" s="1" t="s">
        <v>11</v>
      </c>
    </row>
    <row r="3" spans="2:13" s="15" customFormat="1" ht="15" customHeight="1" x14ac:dyDescent="0.25">
      <c r="B3" s="8" t="s">
        <v>12</v>
      </c>
      <c r="C3" s="9">
        <v>45293</v>
      </c>
      <c r="D3" s="10" t="s">
        <v>13</v>
      </c>
      <c r="E3" s="11" t="s">
        <v>14</v>
      </c>
      <c r="F3" s="10" t="s">
        <v>15</v>
      </c>
      <c r="G3" s="12" t="s">
        <v>16</v>
      </c>
      <c r="H3" s="11">
        <v>1</v>
      </c>
      <c r="I3" s="13">
        <v>650</v>
      </c>
      <c r="J3" s="14">
        <v>650</v>
      </c>
      <c r="K3" s="11" t="s">
        <v>17</v>
      </c>
      <c r="L3" s="11"/>
      <c r="M3" s="11" t="s">
        <v>18</v>
      </c>
    </row>
    <row r="4" spans="2:13" s="15" customFormat="1" ht="15" customHeight="1" x14ac:dyDescent="0.25">
      <c r="B4" s="11" t="s">
        <v>19</v>
      </c>
      <c r="C4" s="16">
        <v>45293</v>
      </c>
      <c r="D4" s="12" t="s">
        <v>20</v>
      </c>
      <c r="E4" s="11" t="s">
        <v>21</v>
      </c>
      <c r="F4" s="12" t="s">
        <v>22</v>
      </c>
      <c r="G4" s="12" t="s">
        <v>23</v>
      </c>
      <c r="H4" s="11" t="s">
        <v>24</v>
      </c>
      <c r="I4" s="13">
        <v>95</v>
      </c>
      <c r="J4" s="13">
        <v>1995</v>
      </c>
      <c r="K4" s="11" t="s">
        <v>25</v>
      </c>
      <c r="L4" s="11"/>
      <c r="M4" s="11" t="s">
        <v>18</v>
      </c>
    </row>
    <row r="5" spans="2:13" s="15" customFormat="1" ht="15" customHeight="1" x14ac:dyDescent="0.25">
      <c r="B5" s="11" t="s">
        <v>26</v>
      </c>
      <c r="C5" s="16">
        <v>45293</v>
      </c>
      <c r="D5" s="12" t="s">
        <v>27</v>
      </c>
      <c r="E5" s="11" t="s">
        <v>14</v>
      </c>
      <c r="F5" s="12" t="s">
        <v>28</v>
      </c>
      <c r="G5" s="12" t="s">
        <v>29</v>
      </c>
      <c r="H5" s="11">
        <v>10</v>
      </c>
      <c r="I5" s="13">
        <v>38</v>
      </c>
      <c r="J5" s="13">
        <v>380</v>
      </c>
      <c r="K5" s="11" t="s">
        <v>17</v>
      </c>
      <c r="L5" s="11" t="s">
        <v>30</v>
      </c>
      <c r="M5" s="11" t="s">
        <v>31</v>
      </c>
    </row>
    <row r="6" spans="2:13" s="15" customFormat="1" ht="15" customHeight="1" x14ac:dyDescent="0.25">
      <c r="B6" s="11" t="s">
        <v>32</v>
      </c>
      <c r="C6" s="16">
        <v>45293</v>
      </c>
      <c r="D6" s="12" t="s">
        <v>33</v>
      </c>
      <c r="E6" s="11" t="s">
        <v>14</v>
      </c>
      <c r="F6" s="17" t="s">
        <v>34</v>
      </c>
      <c r="G6" s="12" t="s">
        <v>35</v>
      </c>
      <c r="H6" s="11">
        <v>10</v>
      </c>
      <c r="I6" s="13">
        <v>565</v>
      </c>
      <c r="J6" s="13">
        <v>5650</v>
      </c>
      <c r="K6" s="11" t="s">
        <v>25</v>
      </c>
      <c r="L6" s="11"/>
      <c r="M6" s="11" t="s">
        <v>18</v>
      </c>
    </row>
    <row r="7" spans="2:13" s="15" customFormat="1" ht="15" customHeight="1" x14ac:dyDescent="0.25">
      <c r="B7" s="11" t="s">
        <v>36</v>
      </c>
      <c r="C7" s="16">
        <v>45303</v>
      </c>
      <c r="D7" s="12" t="s">
        <v>27</v>
      </c>
      <c r="E7" s="11" t="s">
        <v>14</v>
      </c>
      <c r="F7" s="12" t="s">
        <v>37</v>
      </c>
      <c r="G7" s="12" t="s">
        <v>38</v>
      </c>
      <c r="H7" s="11">
        <v>3</v>
      </c>
      <c r="I7" s="13">
        <v>210</v>
      </c>
      <c r="J7" s="13">
        <v>630</v>
      </c>
      <c r="K7" s="11" t="s">
        <v>17</v>
      </c>
      <c r="L7" s="11"/>
      <c r="M7" s="11" t="s">
        <v>18</v>
      </c>
    </row>
    <row r="8" spans="2:13" s="15" customFormat="1" ht="15" customHeight="1" x14ac:dyDescent="0.25">
      <c r="B8" s="11" t="s">
        <v>39</v>
      </c>
      <c r="C8" s="16">
        <v>45294</v>
      </c>
      <c r="D8" s="12" t="s">
        <v>40</v>
      </c>
      <c r="E8" s="11" t="s">
        <v>21</v>
      </c>
      <c r="F8" s="17" t="s">
        <v>41</v>
      </c>
      <c r="G8" s="18" t="s">
        <v>42</v>
      </c>
      <c r="H8" s="11">
        <v>5000</v>
      </c>
      <c r="I8" s="13">
        <v>1.57</v>
      </c>
      <c r="J8" s="13">
        <v>3945</v>
      </c>
      <c r="K8" s="11" t="s">
        <v>25</v>
      </c>
      <c r="L8" s="11"/>
      <c r="M8" s="11" t="s">
        <v>18</v>
      </c>
    </row>
    <row r="9" spans="2:13" s="15" customFormat="1" ht="15" customHeight="1" x14ac:dyDescent="0.25">
      <c r="B9" s="11" t="s">
        <v>43</v>
      </c>
      <c r="C9" s="16">
        <v>45294</v>
      </c>
      <c r="D9" s="12" t="s">
        <v>44</v>
      </c>
      <c r="E9" s="11" t="s">
        <v>14</v>
      </c>
      <c r="F9" s="17" t="s">
        <v>22</v>
      </c>
      <c r="G9" s="12" t="s">
        <v>45</v>
      </c>
      <c r="H9" s="11" t="s">
        <v>46</v>
      </c>
      <c r="I9" s="13">
        <v>275</v>
      </c>
      <c r="J9" s="13">
        <v>550</v>
      </c>
      <c r="K9" s="11" t="s">
        <v>17</v>
      </c>
      <c r="L9" s="19" t="s">
        <v>47</v>
      </c>
      <c r="M9" s="11" t="s">
        <v>31</v>
      </c>
    </row>
    <row r="10" spans="2:13" s="15" customFormat="1" ht="15" customHeight="1" x14ac:dyDescent="0.25">
      <c r="B10" s="20" t="s">
        <v>30</v>
      </c>
      <c r="C10" s="21">
        <v>45294</v>
      </c>
      <c r="D10" t="s">
        <v>48</v>
      </c>
      <c r="E10" s="20" t="s">
        <v>21</v>
      </c>
      <c r="F10" t="s">
        <v>49</v>
      </c>
      <c r="G10" t="s">
        <v>50</v>
      </c>
      <c r="H10" s="20">
        <v>1006</v>
      </c>
      <c r="I10" s="22">
        <v>48.56</v>
      </c>
      <c r="J10" s="22">
        <v>848</v>
      </c>
      <c r="K10" s="20" t="s">
        <v>17</v>
      </c>
      <c r="L10" s="20" t="s">
        <v>43</v>
      </c>
      <c r="M10" s="20" t="s">
        <v>31</v>
      </c>
    </row>
    <row r="11" spans="2:13" s="15" customFormat="1" ht="15" customHeight="1" x14ac:dyDescent="0.25">
      <c r="B11" s="11" t="s">
        <v>51</v>
      </c>
      <c r="C11" s="16">
        <v>45294</v>
      </c>
      <c r="D11" s="12" t="s">
        <v>52</v>
      </c>
      <c r="E11" s="11" t="s">
        <v>14</v>
      </c>
      <c r="F11" s="12" t="s">
        <v>53</v>
      </c>
      <c r="G11" s="12" t="s">
        <v>54</v>
      </c>
      <c r="H11" s="11">
        <v>100</v>
      </c>
      <c r="I11" s="13">
        <v>76</v>
      </c>
      <c r="J11" s="13">
        <v>7600</v>
      </c>
      <c r="K11" s="11" t="s">
        <v>17</v>
      </c>
      <c r="L11" s="11" t="s">
        <v>55</v>
      </c>
      <c r="M11" s="11" t="s">
        <v>31</v>
      </c>
    </row>
    <row r="12" spans="2:13" s="15" customFormat="1" ht="15" customHeight="1" x14ac:dyDescent="0.25">
      <c r="B12" s="11" t="s">
        <v>56</v>
      </c>
      <c r="C12" s="16">
        <v>45294</v>
      </c>
      <c r="D12" s="12" t="s">
        <v>57</v>
      </c>
      <c r="E12" s="11" t="s">
        <v>21</v>
      </c>
      <c r="F12" s="12" t="s">
        <v>58</v>
      </c>
      <c r="G12" s="23" t="s">
        <v>59</v>
      </c>
      <c r="H12" s="11">
        <v>5</v>
      </c>
      <c r="I12" s="13">
        <v>2312.5</v>
      </c>
      <c r="J12" s="24">
        <v>3700</v>
      </c>
      <c r="K12" s="11" t="s">
        <v>17</v>
      </c>
      <c r="L12" s="11"/>
      <c r="M12" s="11" t="s">
        <v>18</v>
      </c>
    </row>
    <row r="13" spans="2:13" s="15" customFormat="1" ht="15" customHeight="1" x14ac:dyDescent="0.25">
      <c r="B13" s="11" t="s">
        <v>60</v>
      </c>
      <c r="C13" s="16">
        <v>45294</v>
      </c>
      <c r="D13" s="12" t="s">
        <v>61</v>
      </c>
      <c r="E13" s="11" t="s">
        <v>14</v>
      </c>
      <c r="F13" s="12" t="s">
        <v>62</v>
      </c>
      <c r="G13" s="12" t="s">
        <v>63</v>
      </c>
      <c r="H13" s="11">
        <v>20</v>
      </c>
      <c r="I13" s="13">
        <v>78</v>
      </c>
      <c r="J13" s="13">
        <v>1560</v>
      </c>
      <c r="K13" s="11" t="s">
        <v>25</v>
      </c>
      <c r="L13" s="11"/>
      <c r="M13" s="11" t="s">
        <v>18</v>
      </c>
    </row>
    <row r="14" spans="2:13" s="15" customFormat="1" ht="15" customHeight="1" x14ac:dyDescent="0.25">
      <c r="B14" s="11" t="s">
        <v>64</v>
      </c>
      <c r="C14" s="16">
        <v>45294</v>
      </c>
      <c r="D14" s="12" t="s">
        <v>65</v>
      </c>
      <c r="E14" s="11" t="s">
        <v>14</v>
      </c>
      <c r="F14" s="12" t="s">
        <v>66</v>
      </c>
      <c r="G14" s="12" t="s">
        <v>67</v>
      </c>
      <c r="H14" s="11">
        <v>400</v>
      </c>
      <c r="I14" s="24">
        <v>25.25</v>
      </c>
      <c r="J14" s="13">
        <v>10100</v>
      </c>
      <c r="K14" s="11" t="s">
        <v>17</v>
      </c>
      <c r="L14" s="11"/>
      <c r="M14" s="11" t="s">
        <v>18</v>
      </c>
    </row>
    <row r="15" spans="2:13" s="15" customFormat="1" ht="31.5" customHeight="1" x14ac:dyDescent="0.25">
      <c r="B15" s="25" t="s">
        <v>68</v>
      </c>
      <c r="C15" s="26">
        <v>45295</v>
      </c>
      <c r="D15" s="27" t="s">
        <v>69</v>
      </c>
      <c r="E15" s="25" t="s">
        <v>21</v>
      </c>
      <c r="F15" s="28" t="s">
        <v>70</v>
      </c>
      <c r="G15" s="27" t="s">
        <v>71</v>
      </c>
      <c r="H15" s="25">
        <v>1971</v>
      </c>
      <c r="I15" s="29">
        <v>387.75</v>
      </c>
      <c r="J15" s="30">
        <v>33595.5</v>
      </c>
      <c r="K15" s="25" t="s">
        <v>72</v>
      </c>
      <c r="L15" s="25"/>
      <c r="M15" s="25" t="s">
        <v>18</v>
      </c>
    </row>
    <row r="16" spans="2:13" s="15" customFormat="1" ht="15" customHeight="1" x14ac:dyDescent="0.25">
      <c r="B16" s="11" t="s">
        <v>73</v>
      </c>
      <c r="C16" s="26">
        <v>45295</v>
      </c>
      <c r="D16" s="12" t="s">
        <v>74</v>
      </c>
      <c r="E16" s="11" t="s">
        <v>21</v>
      </c>
      <c r="F16" s="12" t="s">
        <v>75</v>
      </c>
      <c r="G16" s="12" t="s">
        <v>76</v>
      </c>
      <c r="H16" s="11">
        <v>4</v>
      </c>
      <c r="I16" s="24">
        <v>3300</v>
      </c>
      <c r="J16" s="13">
        <v>3300</v>
      </c>
      <c r="K16" s="11" t="s">
        <v>72</v>
      </c>
      <c r="L16" s="11"/>
      <c r="M16" s="11" t="s">
        <v>18</v>
      </c>
    </row>
    <row r="17" spans="2:13" s="15" customFormat="1" ht="15" customHeight="1" x14ac:dyDescent="0.25">
      <c r="B17" s="11" t="s">
        <v>77</v>
      </c>
      <c r="C17" s="26">
        <v>45295</v>
      </c>
      <c r="D17" s="12" t="s">
        <v>78</v>
      </c>
      <c r="E17" s="11" t="s">
        <v>21</v>
      </c>
      <c r="F17" s="17" t="s">
        <v>79</v>
      </c>
      <c r="G17" s="12" t="s">
        <v>80</v>
      </c>
      <c r="H17" s="11">
        <v>16</v>
      </c>
      <c r="I17" s="24"/>
      <c r="J17" s="13">
        <v>1750</v>
      </c>
      <c r="K17" s="11" t="s">
        <v>72</v>
      </c>
      <c r="L17" s="11"/>
      <c r="M17" s="11" t="s">
        <v>18</v>
      </c>
    </row>
    <row r="18" spans="2:13" s="15" customFormat="1" ht="15" customHeight="1" x14ac:dyDescent="0.25">
      <c r="B18" s="11" t="s">
        <v>81</v>
      </c>
      <c r="C18" s="26">
        <v>45295</v>
      </c>
      <c r="D18" s="12" t="s">
        <v>82</v>
      </c>
      <c r="E18" s="11" t="s">
        <v>14</v>
      </c>
      <c r="F18" s="12" t="s">
        <v>83</v>
      </c>
      <c r="G18" s="23" t="s">
        <v>84</v>
      </c>
      <c r="H18" s="11">
        <v>400</v>
      </c>
      <c r="I18" s="24">
        <v>7.75</v>
      </c>
      <c r="J18" s="13">
        <v>3100</v>
      </c>
      <c r="K18" s="11" t="s">
        <v>17</v>
      </c>
      <c r="L18" s="11"/>
      <c r="M18" s="11" t="s">
        <v>18</v>
      </c>
    </row>
    <row r="19" spans="2:13" s="15" customFormat="1" ht="15" customHeight="1" x14ac:dyDescent="0.25">
      <c r="B19" s="11" t="s">
        <v>47</v>
      </c>
      <c r="C19" s="26">
        <v>45295</v>
      </c>
      <c r="D19" s="12" t="s">
        <v>85</v>
      </c>
      <c r="E19" s="11" t="s">
        <v>21</v>
      </c>
      <c r="F19" s="17" t="s">
        <v>86</v>
      </c>
      <c r="G19" s="12" t="s">
        <v>87</v>
      </c>
      <c r="H19" s="11">
        <v>200</v>
      </c>
      <c r="I19" s="24">
        <v>113.45</v>
      </c>
      <c r="J19" s="13">
        <v>5672.5</v>
      </c>
      <c r="K19" s="11" t="s">
        <v>25</v>
      </c>
      <c r="L19" s="11"/>
      <c r="M19" s="11" t="s">
        <v>18</v>
      </c>
    </row>
    <row r="20" spans="2:13" s="15" customFormat="1" ht="15" customHeight="1" x14ac:dyDescent="0.25">
      <c r="B20" s="11" t="s">
        <v>88</v>
      </c>
      <c r="C20" s="26">
        <v>45296</v>
      </c>
      <c r="D20" s="12" t="s">
        <v>89</v>
      </c>
      <c r="E20" s="11" t="s">
        <v>21</v>
      </c>
      <c r="F20" s="12" t="s">
        <v>90</v>
      </c>
      <c r="G20" s="12" t="s">
        <v>91</v>
      </c>
      <c r="H20" s="11">
        <v>40</v>
      </c>
      <c r="I20" s="24">
        <v>48</v>
      </c>
      <c r="J20" s="13">
        <v>1920</v>
      </c>
      <c r="K20" s="11" t="s">
        <v>25</v>
      </c>
      <c r="L20" s="11"/>
      <c r="M20" s="11" t="s">
        <v>18</v>
      </c>
    </row>
    <row r="21" spans="2:13" s="15" customFormat="1" ht="15" customHeight="1" x14ac:dyDescent="0.25">
      <c r="B21" s="11" t="s">
        <v>92</v>
      </c>
      <c r="C21" s="26">
        <v>45307</v>
      </c>
      <c r="D21" s="12" t="s">
        <v>93</v>
      </c>
      <c r="E21" s="11" t="s">
        <v>14</v>
      </c>
      <c r="F21" s="12" t="s">
        <v>94</v>
      </c>
      <c r="G21" s="12" t="s">
        <v>95</v>
      </c>
      <c r="H21" s="11">
        <v>52</v>
      </c>
      <c r="I21" s="24">
        <v>113</v>
      </c>
      <c r="J21" s="24">
        <v>1090</v>
      </c>
      <c r="K21" s="11" t="s">
        <v>25</v>
      </c>
      <c r="L21" s="11" t="s">
        <v>96</v>
      </c>
      <c r="M21" s="11" t="s">
        <v>31</v>
      </c>
    </row>
    <row r="22" spans="2:13" s="15" customFormat="1" ht="15" customHeight="1" x14ac:dyDescent="0.25">
      <c r="B22" s="11" t="s">
        <v>97</v>
      </c>
      <c r="C22" s="26">
        <v>45310</v>
      </c>
      <c r="D22" s="17" t="s">
        <v>98</v>
      </c>
      <c r="E22" s="11" t="s">
        <v>14</v>
      </c>
      <c r="F22" s="17" t="s">
        <v>99</v>
      </c>
      <c r="G22" s="18" t="s">
        <v>100</v>
      </c>
      <c r="H22" s="11">
        <v>700</v>
      </c>
      <c r="I22" s="24">
        <f>0.99+1.25</f>
        <v>2.2400000000000002</v>
      </c>
      <c r="J22" s="13">
        <v>745</v>
      </c>
      <c r="K22" s="11" t="s">
        <v>25</v>
      </c>
      <c r="L22" s="11" t="s">
        <v>101</v>
      </c>
      <c r="M22" s="11" t="s">
        <v>31</v>
      </c>
    </row>
    <row r="23" spans="2:13" s="15" customFormat="1" ht="15" customHeight="1" x14ac:dyDescent="0.25">
      <c r="B23" s="11" t="s">
        <v>102</v>
      </c>
      <c r="C23" s="26">
        <v>45296</v>
      </c>
      <c r="D23" s="17" t="s">
        <v>33</v>
      </c>
      <c r="E23" s="11" t="s">
        <v>14</v>
      </c>
      <c r="F23" s="17" t="s">
        <v>103</v>
      </c>
      <c r="G23" s="23" t="s">
        <v>104</v>
      </c>
      <c r="H23" s="11">
        <v>500</v>
      </c>
      <c r="I23" s="24">
        <v>7.75</v>
      </c>
      <c r="J23" s="13">
        <v>3875</v>
      </c>
      <c r="K23" s="11" t="s">
        <v>25</v>
      </c>
      <c r="L23" s="11"/>
      <c r="M23" s="11" t="s">
        <v>18</v>
      </c>
    </row>
    <row r="24" spans="2:13" s="15" customFormat="1" ht="15" customHeight="1" x14ac:dyDescent="0.25">
      <c r="B24" s="11" t="s">
        <v>105</v>
      </c>
      <c r="C24" s="26">
        <v>45296</v>
      </c>
      <c r="D24" s="17" t="s">
        <v>106</v>
      </c>
      <c r="E24" s="11" t="s">
        <v>21</v>
      </c>
      <c r="F24" s="17" t="s">
        <v>107</v>
      </c>
      <c r="G24" s="31" t="s">
        <v>108</v>
      </c>
      <c r="H24" s="11">
        <v>50</v>
      </c>
      <c r="I24" s="24">
        <v>35</v>
      </c>
      <c r="J24" s="13">
        <v>1750</v>
      </c>
      <c r="K24" s="11" t="s">
        <v>72</v>
      </c>
      <c r="L24" s="19"/>
      <c r="M24" s="11" t="s">
        <v>18</v>
      </c>
    </row>
    <row r="25" spans="2:13" s="15" customFormat="1" ht="15" customHeight="1" x14ac:dyDescent="0.25">
      <c r="B25" s="11" t="s">
        <v>109</v>
      </c>
      <c r="C25" s="26">
        <v>45296</v>
      </c>
      <c r="D25" s="12" t="s">
        <v>110</v>
      </c>
      <c r="E25" s="11" t="s">
        <v>21</v>
      </c>
      <c r="F25" s="17" t="s">
        <v>22</v>
      </c>
      <c r="G25" s="12" t="s">
        <v>111</v>
      </c>
      <c r="H25" s="11">
        <v>1000</v>
      </c>
      <c r="I25" s="24">
        <v>0.32500000000000001</v>
      </c>
      <c r="J25" s="13">
        <v>325</v>
      </c>
      <c r="K25" s="11" t="s">
        <v>72</v>
      </c>
      <c r="L25" s="19"/>
      <c r="M25" s="11" t="s">
        <v>18</v>
      </c>
    </row>
    <row r="26" spans="2:13" s="15" customFormat="1" ht="15" customHeight="1" x14ac:dyDescent="0.25">
      <c r="B26" s="11" t="s">
        <v>112</v>
      </c>
      <c r="C26" s="26">
        <v>45296</v>
      </c>
      <c r="D26" s="12" t="s">
        <v>113</v>
      </c>
      <c r="E26" s="11" t="s">
        <v>21</v>
      </c>
      <c r="F26" s="12" t="s">
        <v>22</v>
      </c>
      <c r="G26" s="12" t="s">
        <v>111</v>
      </c>
      <c r="H26" s="11">
        <v>500</v>
      </c>
      <c r="I26" s="24">
        <v>0.42</v>
      </c>
      <c r="J26" s="13">
        <v>210</v>
      </c>
      <c r="K26" s="11" t="s">
        <v>72</v>
      </c>
      <c r="L26" s="11"/>
      <c r="M26" s="11" t="s">
        <v>18</v>
      </c>
    </row>
    <row r="27" spans="2:13" s="15" customFormat="1" ht="15" customHeight="1" x14ac:dyDescent="0.25">
      <c r="B27" s="11" t="s">
        <v>114</v>
      </c>
      <c r="C27" s="26">
        <v>45296</v>
      </c>
      <c r="D27" s="12" t="s">
        <v>115</v>
      </c>
      <c r="E27" s="11" t="s">
        <v>14</v>
      </c>
      <c r="F27" s="12" t="s">
        <v>116</v>
      </c>
      <c r="G27" s="12" t="s">
        <v>117</v>
      </c>
      <c r="H27" s="11">
        <v>1</v>
      </c>
      <c r="I27" s="24">
        <v>250</v>
      </c>
      <c r="J27" s="13">
        <v>250</v>
      </c>
      <c r="K27" s="11" t="s">
        <v>25</v>
      </c>
      <c r="L27" s="11"/>
      <c r="M27" s="11" t="s">
        <v>18</v>
      </c>
    </row>
    <row r="28" spans="2:13" s="15" customFormat="1" ht="15" customHeight="1" x14ac:dyDescent="0.25">
      <c r="B28" s="11" t="s">
        <v>118</v>
      </c>
      <c r="C28" s="26">
        <v>45296</v>
      </c>
      <c r="D28" s="12" t="s">
        <v>119</v>
      </c>
      <c r="E28" s="11" t="s">
        <v>21</v>
      </c>
      <c r="F28" s="12" t="s">
        <v>120</v>
      </c>
      <c r="G28" s="12" t="s">
        <v>121</v>
      </c>
      <c r="H28" s="11">
        <v>5000</v>
      </c>
      <c r="I28" s="24">
        <v>2.65</v>
      </c>
      <c r="J28" s="13">
        <v>13250</v>
      </c>
      <c r="K28" s="11" t="s">
        <v>72</v>
      </c>
      <c r="L28" s="11"/>
      <c r="M28" s="11" t="s">
        <v>18</v>
      </c>
    </row>
    <row r="29" spans="2:13" s="15" customFormat="1" ht="15" customHeight="1" x14ac:dyDescent="0.25">
      <c r="B29" s="11" t="s">
        <v>122</v>
      </c>
      <c r="C29" s="26">
        <v>45317</v>
      </c>
      <c r="D29" s="12" t="s">
        <v>27</v>
      </c>
      <c r="E29" s="11" t="s">
        <v>14</v>
      </c>
      <c r="F29" s="17" t="s">
        <v>123</v>
      </c>
      <c r="G29" s="12" t="s">
        <v>124</v>
      </c>
      <c r="H29" s="11">
        <v>2908</v>
      </c>
      <c r="I29" s="24">
        <v>39.03</v>
      </c>
      <c r="J29" s="13">
        <v>9558.4</v>
      </c>
      <c r="K29" s="11" t="s">
        <v>17</v>
      </c>
      <c r="L29" s="11" t="s">
        <v>125</v>
      </c>
      <c r="M29" s="11" t="s">
        <v>31</v>
      </c>
    </row>
    <row r="30" spans="2:13" s="15" customFormat="1" ht="15" customHeight="1" x14ac:dyDescent="0.25">
      <c r="B30" s="11" t="s">
        <v>126</v>
      </c>
      <c r="C30" s="26">
        <v>45297</v>
      </c>
      <c r="D30" s="17" t="s">
        <v>82</v>
      </c>
      <c r="E30" s="11" t="s">
        <v>14</v>
      </c>
      <c r="F30" s="17" t="s">
        <v>127</v>
      </c>
      <c r="G30" s="23" t="s">
        <v>128</v>
      </c>
      <c r="H30" s="11">
        <v>150</v>
      </c>
      <c r="I30" s="24">
        <v>25.75</v>
      </c>
      <c r="J30" s="13">
        <v>3862.5</v>
      </c>
      <c r="K30" s="11" t="s">
        <v>17</v>
      </c>
      <c r="L30" s="11"/>
      <c r="M30" s="11" t="s">
        <v>18</v>
      </c>
    </row>
    <row r="31" spans="2:13" s="15" customFormat="1" ht="15" customHeight="1" x14ac:dyDescent="0.25">
      <c r="B31" s="11" t="s">
        <v>129</v>
      </c>
      <c r="C31" s="26">
        <v>45297</v>
      </c>
      <c r="D31" s="17" t="s">
        <v>130</v>
      </c>
      <c r="E31" s="11" t="s">
        <v>14</v>
      </c>
      <c r="F31" s="23" t="s">
        <v>131</v>
      </c>
      <c r="G31" s="31" t="s">
        <v>132</v>
      </c>
      <c r="H31" s="11">
        <v>500</v>
      </c>
      <c r="I31" s="24">
        <v>0.81</v>
      </c>
      <c r="J31" s="24">
        <v>405</v>
      </c>
      <c r="K31" s="11" t="s">
        <v>17</v>
      </c>
      <c r="L31" s="19" t="s">
        <v>51</v>
      </c>
      <c r="M31" s="11" t="s">
        <v>31</v>
      </c>
    </row>
    <row r="32" spans="2:13" s="15" customFormat="1" ht="15" customHeight="1" x14ac:dyDescent="0.25">
      <c r="B32" s="11" t="s">
        <v>133</v>
      </c>
      <c r="C32" s="26">
        <v>45297</v>
      </c>
      <c r="D32" s="17" t="s">
        <v>82</v>
      </c>
      <c r="E32" s="11" t="s">
        <v>14</v>
      </c>
      <c r="F32" s="17" t="s">
        <v>134</v>
      </c>
      <c r="G32" s="31" t="s">
        <v>135</v>
      </c>
      <c r="H32" s="11">
        <v>4</v>
      </c>
      <c r="I32" s="24">
        <v>1395</v>
      </c>
      <c r="J32" s="13">
        <v>5580</v>
      </c>
      <c r="K32" s="11" t="s">
        <v>17</v>
      </c>
      <c r="L32" s="11" t="s">
        <v>136</v>
      </c>
      <c r="M32" s="11" t="s">
        <v>31</v>
      </c>
    </row>
    <row r="33" spans="2:13" s="15" customFormat="1" ht="15" customHeight="1" x14ac:dyDescent="0.25">
      <c r="B33" s="11" t="s">
        <v>137</v>
      </c>
      <c r="C33" s="26">
        <v>45299</v>
      </c>
      <c r="D33" s="17" t="s">
        <v>138</v>
      </c>
      <c r="E33" s="11" t="s">
        <v>21</v>
      </c>
      <c r="F33" s="17" t="s">
        <v>139</v>
      </c>
      <c r="G33" s="23" t="s">
        <v>140</v>
      </c>
      <c r="H33" s="11">
        <v>1</v>
      </c>
      <c r="I33" s="24">
        <v>150</v>
      </c>
      <c r="J33" s="13">
        <v>150</v>
      </c>
      <c r="K33" s="11" t="s">
        <v>25</v>
      </c>
      <c r="L33" s="23"/>
      <c r="M33" s="11" t="s">
        <v>18</v>
      </c>
    </row>
    <row r="34" spans="2:13" s="15" customFormat="1" ht="15" customHeight="1" x14ac:dyDescent="0.25">
      <c r="B34" s="11" t="s">
        <v>141</v>
      </c>
      <c r="C34" s="26">
        <v>45299</v>
      </c>
      <c r="D34" s="17" t="s">
        <v>142</v>
      </c>
      <c r="E34" s="11" t="s">
        <v>14</v>
      </c>
      <c r="F34" s="17" t="s">
        <v>143</v>
      </c>
      <c r="G34" s="31" t="s">
        <v>144</v>
      </c>
      <c r="H34" s="11">
        <v>20</v>
      </c>
      <c r="I34" s="24">
        <v>23.75</v>
      </c>
      <c r="J34" s="13">
        <v>475</v>
      </c>
      <c r="K34" s="11" t="s">
        <v>25</v>
      </c>
      <c r="L34" s="11" t="s">
        <v>68</v>
      </c>
      <c r="M34" s="11" t="s">
        <v>31</v>
      </c>
    </row>
    <row r="35" spans="2:13" s="15" customFormat="1" ht="15" customHeight="1" x14ac:dyDescent="0.25">
      <c r="B35" s="11" t="s">
        <v>145</v>
      </c>
      <c r="C35" s="26">
        <v>45309</v>
      </c>
      <c r="D35" s="17" t="s">
        <v>146</v>
      </c>
      <c r="E35" s="11" t="s">
        <v>21</v>
      </c>
      <c r="F35" s="23" t="s">
        <v>147</v>
      </c>
      <c r="G35" s="31" t="s">
        <v>148</v>
      </c>
      <c r="H35" s="11">
        <v>25</v>
      </c>
      <c r="I35" s="24">
        <v>58.75</v>
      </c>
      <c r="J35" s="13">
        <v>1468.75</v>
      </c>
      <c r="K35" s="11" t="s">
        <v>25</v>
      </c>
      <c r="L35" s="19"/>
      <c r="M35" s="11" t="s">
        <v>18</v>
      </c>
    </row>
    <row r="36" spans="2:13" s="15" customFormat="1" ht="15" customHeight="1" x14ac:dyDescent="0.25">
      <c r="B36" s="11" t="s">
        <v>149</v>
      </c>
      <c r="C36" s="26">
        <v>45300</v>
      </c>
      <c r="D36" s="12" t="s">
        <v>150</v>
      </c>
      <c r="E36" s="11" t="s">
        <v>14</v>
      </c>
      <c r="F36" s="17" t="s">
        <v>151</v>
      </c>
      <c r="G36" s="12" t="s">
        <v>152</v>
      </c>
      <c r="H36" s="11">
        <v>300</v>
      </c>
      <c r="I36" s="24">
        <v>0.55000000000000004</v>
      </c>
      <c r="J36" s="13">
        <v>165</v>
      </c>
      <c r="K36" s="11" t="s">
        <v>17</v>
      </c>
      <c r="L36" s="11" t="s">
        <v>81</v>
      </c>
      <c r="M36" s="11" t="s">
        <v>31</v>
      </c>
    </row>
    <row r="37" spans="2:13" s="15" customFormat="1" ht="28.5" customHeight="1" x14ac:dyDescent="0.25">
      <c r="B37" s="19" t="s">
        <v>153</v>
      </c>
      <c r="C37" s="16">
        <v>45315</v>
      </c>
      <c r="D37" s="32" t="s">
        <v>154</v>
      </c>
      <c r="E37" s="19" t="s">
        <v>14</v>
      </c>
      <c r="F37" s="33" t="s">
        <v>155</v>
      </c>
      <c r="G37" s="32" t="s">
        <v>156</v>
      </c>
      <c r="H37" s="19">
        <v>123</v>
      </c>
      <c r="I37" s="34">
        <v>537</v>
      </c>
      <c r="J37" s="35">
        <v>7082.5</v>
      </c>
      <c r="K37" s="19" t="s">
        <v>25</v>
      </c>
      <c r="L37" s="19" t="s">
        <v>157</v>
      </c>
      <c r="M37" s="19" t="s">
        <v>31</v>
      </c>
    </row>
    <row r="38" spans="2:13" s="15" customFormat="1" ht="15" customHeight="1" x14ac:dyDescent="0.25">
      <c r="B38" s="11" t="s">
        <v>158</v>
      </c>
      <c r="C38" s="26">
        <v>45300</v>
      </c>
      <c r="D38" s="12" t="s">
        <v>159</v>
      </c>
      <c r="E38" s="11" t="s">
        <v>14</v>
      </c>
      <c r="F38" s="12" t="s">
        <v>160</v>
      </c>
      <c r="G38" s="12" t="s">
        <v>161</v>
      </c>
      <c r="H38" s="11">
        <v>200</v>
      </c>
      <c r="I38" s="24">
        <v>1.375</v>
      </c>
      <c r="J38" s="13">
        <v>275</v>
      </c>
      <c r="K38" s="11" t="s">
        <v>17</v>
      </c>
      <c r="L38" s="19"/>
      <c r="M38" s="11" t="s">
        <v>18</v>
      </c>
    </row>
    <row r="39" spans="2:13" s="15" customFormat="1" ht="15" customHeight="1" x14ac:dyDescent="0.25">
      <c r="B39" s="11" t="s">
        <v>162</v>
      </c>
      <c r="C39" s="26">
        <v>45300</v>
      </c>
      <c r="D39" s="12" t="s">
        <v>163</v>
      </c>
      <c r="E39" s="11" t="s">
        <v>14</v>
      </c>
      <c r="F39" s="12" t="s">
        <v>164</v>
      </c>
      <c r="G39" s="12" t="s">
        <v>165</v>
      </c>
      <c r="H39" s="11">
        <v>1</v>
      </c>
      <c r="I39" s="24">
        <v>7385</v>
      </c>
      <c r="J39" s="13">
        <v>7385</v>
      </c>
      <c r="K39" s="11" t="s">
        <v>17</v>
      </c>
      <c r="L39" s="19"/>
      <c r="M39" s="11" t="s">
        <v>18</v>
      </c>
    </row>
    <row r="40" spans="2:13" s="15" customFormat="1" ht="15" customHeight="1" x14ac:dyDescent="0.25">
      <c r="B40" s="11" t="s">
        <v>166</v>
      </c>
      <c r="C40" s="26">
        <v>45300</v>
      </c>
      <c r="D40" s="12" t="s">
        <v>167</v>
      </c>
      <c r="E40" s="11" t="s">
        <v>14</v>
      </c>
      <c r="F40" s="12" t="s">
        <v>168</v>
      </c>
      <c r="G40" s="12" t="s">
        <v>169</v>
      </c>
      <c r="H40" s="11">
        <v>6200</v>
      </c>
      <c r="I40" s="24">
        <v>7.05</v>
      </c>
      <c r="J40" s="13">
        <v>20240</v>
      </c>
      <c r="K40" s="11" t="s">
        <v>25</v>
      </c>
      <c r="L40" s="19"/>
      <c r="M40" s="11" t="s">
        <v>18</v>
      </c>
    </row>
    <row r="41" spans="2:13" s="15" customFormat="1" ht="15" customHeight="1" x14ac:dyDescent="0.25">
      <c r="B41" s="11" t="s">
        <v>96</v>
      </c>
      <c r="C41" s="26">
        <v>45301</v>
      </c>
      <c r="D41" s="12" t="s">
        <v>170</v>
      </c>
      <c r="E41" s="11" t="s">
        <v>14</v>
      </c>
      <c r="F41" s="17" t="s">
        <v>171</v>
      </c>
      <c r="G41" s="12" t="s">
        <v>172</v>
      </c>
      <c r="H41" s="11">
        <v>50</v>
      </c>
      <c r="I41" s="24">
        <v>65</v>
      </c>
      <c r="J41" s="13">
        <v>3250</v>
      </c>
      <c r="K41" s="11" t="s">
        <v>17</v>
      </c>
      <c r="L41" s="19"/>
      <c r="M41" s="11" t="s">
        <v>18</v>
      </c>
    </row>
    <row r="42" spans="2:13" s="41" customFormat="1" ht="43.5" customHeight="1" x14ac:dyDescent="0.25">
      <c r="B42" s="36" t="s">
        <v>173</v>
      </c>
      <c r="C42" s="37">
        <v>45301</v>
      </c>
      <c r="D42" s="28" t="s">
        <v>61</v>
      </c>
      <c r="E42" s="36" t="s">
        <v>14</v>
      </c>
      <c r="F42" s="28" t="s">
        <v>174</v>
      </c>
      <c r="G42" s="38" t="s">
        <v>175</v>
      </c>
      <c r="H42" s="36">
        <v>56</v>
      </c>
      <c r="I42" s="39">
        <v>523</v>
      </c>
      <c r="J42" s="40">
        <v>4181</v>
      </c>
      <c r="K42" s="36" t="s">
        <v>25</v>
      </c>
      <c r="L42" s="36"/>
      <c r="M42" s="36" t="s">
        <v>18</v>
      </c>
    </row>
    <row r="43" spans="2:13" s="15" customFormat="1" ht="15" customHeight="1" x14ac:dyDescent="0.25">
      <c r="B43" s="11" t="s">
        <v>176</v>
      </c>
      <c r="C43" s="26">
        <v>45301</v>
      </c>
      <c r="D43" s="12" t="s">
        <v>177</v>
      </c>
      <c r="E43" s="11" t="s">
        <v>14</v>
      </c>
      <c r="F43" s="12" t="s">
        <v>178</v>
      </c>
      <c r="G43" s="12" t="s">
        <v>179</v>
      </c>
      <c r="H43" s="11">
        <v>4</v>
      </c>
      <c r="I43" s="24">
        <v>3530</v>
      </c>
      <c r="J43" s="13">
        <v>3530</v>
      </c>
      <c r="K43" s="11" t="s">
        <v>17</v>
      </c>
      <c r="L43" s="19"/>
      <c r="M43" s="11" t="s">
        <v>18</v>
      </c>
    </row>
    <row r="44" spans="2:13" s="15" customFormat="1" ht="15" customHeight="1" x14ac:dyDescent="0.25">
      <c r="B44" s="11" t="s">
        <v>180</v>
      </c>
      <c r="C44" s="26">
        <v>45301</v>
      </c>
      <c r="D44" s="12" t="s">
        <v>181</v>
      </c>
      <c r="E44" s="11" t="s">
        <v>14</v>
      </c>
      <c r="F44" s="12" t="s">
        <v>182</v>
      </c>
      <c r="G44" s="12" t="s">
        <v>183</v>
      </c>
      <c r="H44" s="11">
        <v>6000</v>
      </c>
      <c r="I44" s="42">
        <v>1.125</v>
      </c>
      <c r="J44" s="13">
        <v>3375</v>
      </c>
      <c r="K44" s="11" t="s">
        <v>25</v>
      </c>
      <c r="L44" s="19"/>
      <c r="M44" s="11" t="s">
        <v>18</v>
      </c>
    </row>
    <row r="45" spans="2:13" s="15" customFormat="1" ht="15" customHeight="1" x14ac:dyDescent="0.25">
      <c r="B45" s="11" t="s">
        <v>184</v>
      </c>
      <c r="C45" s="26">
        <v>45301</v>
      </c>
      <c r="D45" s="12" t="s">
        <v>181</v>
      </c>
      <c r="E45" s="11" t="s">
        <v>14</v>
      </c>
      <c r="F45" s="12" t="s">
        <v>185</v>
      </c>
      <c r="G45" s="12" t="s">
        <v>186</v>
      </c>
      <c r="H45" s="11">
        <v>2</v>
      </c>
      <c r="I45" s="24">
        <v>200</v>
      </c>
      <c r="J45" s="13">
        <v>400</v>
      </c>
      <c r="K45" s="11" t="s">
        <v>25</v>
      </c>
      <c r="L45" s="19" t="s">
        <v>187</v>
      </c>
      <c r="M45" s="11" t="s">
        <v>31</v>
      </c>
    </row>
    <row r="46" spans="2:13" s="15" customFormat="1" ht="15" customHeight="1" x14ac:dyDescent="0.25">
      <c r="B46" s="11" t="s">
        <v>136</v>
      </c>
      <c r="C46" s="26">
        <v>45301</v>
      </c>
      <c r="D46" s="17" t="s">
        <v>188</v>
      </c>
      <c r="E46" s="11" t="s">
        <v>14</v>
      </c>
      <c r="F46" s="17" t="s">
        <v>22</v>
      </c>
      <c r="G46" s="31" t="s">
        <v>189</v>
      </c>
      <c r="H46" s="11">
        <v>150</v>
      </c>
      <c r="I46" s="24">
        <v>1.73</v>
      </c>
      <c r="J46" s="13">
        <v>310</v>
      </c>
      <c r="K46" s="11" t="s">
        <v>25</v>
      </c>
      <c r="L46" s="19" t="s">
        <v>190</v>
      </c>
      <c r="M46" s="11" t="s">
        <v>31</v>
      </c>
    </row>
    <row r="47" spans="2:13" s="15" customFormat="1" ht="15" customHeight="1" x14ac:dyDescent="0.25">
      <c r="B47" s="11" t="s">
        <v>187</v>
      </c>
      <c r="C47" s="26">
        <v>45302</v>
      </c>
      <c r="D47" s="17" t="s">
        <v>181</v>
      </c>
      <c r="E47" s="11" t="s">
        <v>14</v>
      </c>
      <c r="F47" s="17" t="s">
        <v>22</v>
      </c>
      <c r="G47" s="18" t="s">
        <v>191</v>
      </c>
      <c r="H47" s="11">
        <v>1500</v>
      </c>
      <c r="I47" s="24">
        <v>1.35</v>
      </c>
      <c r="J47" s="13">
        <v>970</v>
      </c>
      <c r="K47" s="11" t="s">
        <v>25</v>
      </c>
      <c r="L47" s="19"/>
      <c r="M47" s="11" t="s">
        <v>18</v>
      </c>
    </row>
    <row r="48" spans="2:13" s="15" customFormat="1" ht="15" customHeight="1" x14ac:dyDescent="0.25">
      <c r="B48" s="11" t="s">
        <v>192</v>
      </c>
      <c r="C48" s="26">
        <v>45306</v>
      </c>
      <c r="D48" s="17" t="s">
        <v>193</v>
      </c>
      <c r="E48" s="11" t="s">
        <v>14</v>
      </c>
      <c r="F48" s="17" t="s">
        <v>194</v>
      </c>
      <c r="G48" s="17" t="s">
        <v>195</v>
      </c>
      <c r="H48" s="11">
        <v>2</v>
      </c>
      <c r="I48" s="24">
        <v>365</v>
      </c>
      <c r="J48" s="13">
        <v>730</v>
      </c>
      <c r="K48" s="11" t="s">
        <v>25</v>
      </c>
      <c r="L48" s="19"/>
      <c r="M48" s="11" t="s">
        <v>18</v>
      </c>
    </row>
    <row r="49" spans="2:13" s="15" customFormat="1" ht="15" customHeight="1" x14ac:dyDescent="0.25">
      <c r="B49" s="11" t="s">
        <v>196</v>
      </c>
      <c r="C49" s="26">
        <v>45302</v>
      </c>
      <c r="D49" s="17" t="s">
        <v>154</v>
      </c>
      <c r="E49" s="11" t="s">
        <v>14</v>
      </c>
      <c r="F49" s="17" t="s">
        <v>197</v>
      </c>
      <c r="G49" s="18" t="s">
        <v>152</v>
      </c>
      <c r="H49" s="11">
        <v>1100</v>
      </c>
      <c r="I49" s="24">
        <v>1.27</v>
      </c>
      <c r="J49" s="13">
        <v>700</v>
      </c>
      <c r="K49" s="11" t="s">
        <v>25</v>
      </c>
      <c r="L49" s="19"/>
      <c r="M49" s="11" t="s">
        <v>18</v>
      </c>
    </row>
    <row r="50" spans="2:13" s="15" customFormat="1" ht="15" customHeight="1" x14ac:dyDescent="0.25">
      <c r="B50" s="11" t="s">
        <v>198</v>
      </c>
      <c r="C50" s="26">
        <v>45303</v>
      </c>
      <c r="D50" s="23" t="s">
        <v>199</v>
      </c>
      <c r="E50" s="11" t="s">
        <v>14</v>
      </c>
      <c r="F50" s="17" t="s">
        <v>200</v>
      </c>
      <c r="G50" s="31" t="s">
        <v>201</v>
      </c>
      <c r="H50" s="11">
        <v>8</v>
      </c>
      <c r="I50" s="24">
        <v>515</v>
      </c>
      <c r="J50" s="13">
        <v>4470</v>
      </c>
      <c r="K50" s="11" t="s">
        <v>17</v>
      </c>
      <c r="L50" s="19"/>
      <c r="M50" s="11" t="s">
        <v>18</v>
      </c>
    </row>
    <row r="51" spans="2:13" s="15" customFormat="1" ht="15" customHeight="1" x14ac:dyDescent="0.25">
      <c r="B51" s="11" t="s">
        <v>202</v>
      </c>
      <c r="C51" s="26">
        <v>45303</v>
      </c>
      <c r="D51" s="17" t="s">
        <v>203</v>
      </c>
      <c r="E51" s="11" t="s">
        <v>14</v>
      </c>
      <c r="F51" s="17" t="s">
        <v>204</v>
      </c>
      <c r="G51" s="31" t="s">
        <v>205</v>
      </c>
      <c r="H51" s="11">
        <v>2</v>
      </c>
      <c r="I51" s="24">
        <v>300</v>
      </c>
      <c r="J51" s="13">
        <v>300</v>
      </c>
      <c r="K51" s="11" t="s">
        <v>17</v>
      </c>
      <c r="L51" s="19" t="s">
        <v>19</v>
      </c>
      <c r="M51" s="11" t="s">
        <v>31</v>
      </c>
    </row>
    <row r="52" spans="2:13" s="15" customFormat="1" ht="15" customHeight="1" x14ac:dyDescent="0.25">
      <c r="B52" s="11" t="s">
        <v>206</v>
      </c>
      <c r="C52" s="26">
        <v>45303</v>
      </c>
      <c r="D52" s="12" t="s">
        <v>203</v>
      </c>
      <c r="E52" s="11" t="s">
        <v>14</v>
      </c>
      <c r="F52" s="17" t="s">
        <v>207</v>
      </c>
      <c r="G52" s="12" t="s">
        <v>208</v>
      </c>
      <c r="H52" s="11">
        <v>9</v>
      </c>
      <c r="I52" s="24">
        <v>175.5</v>
      </c>
      <c r="J52" s="13">
        <v>526.5</v>
      </c>
      <c r="K52" s="11" t="s">
        <v>17</v>
      </c>
      <c r="L52" s="19" t="s">
        <v>209</v>
      </c>
      <c r="M52" s="11" t="s">
        <v>31</v>
      </c>
    </row>
    <row r="53" spans="2:13" s="15" customFormat="1" ht="15" customHeight="1" x14ac:dyDescent="0.25">
      <c r="B53" s="11" t="s">
        <v>210</v>
      </c>
      <c r="C53" s="26">
        <v>45350</v>
      </c>
      <c r="D53" s="12" t="s">
        <v>211</v>
      </c>
      <c r="E53" s="11" t="s">
        <v>14</v>
      </c>
      <c r="F53" s="17" t="s">
        <v>212</v>
      </c>
      <c r="G53" s="31" t="s">
        <v>213</v>
      </c>
      <c r="H53" s="11">
        <v>500</v>
      </c>
      <c r="I53" s="24">
        <v>24.5</v>
      </c>
      <c r="J53" s="13">
        <v>12250</v>
      </c>
      <c r="K53" s="11" t="s">
        <v>25</v>
      </c>
      <c r="L53" s="19"/>
      <c r="M53" s="11" t="s">
        <v>18</v>
      </c>
    </row>
    <row r="54" spans="2:13" s="15" customFormat="1" ht="15" customHeight="1" x14ac:dyDescent="0.25">
      <c r="B54" s="11" t="s">
        <v>214</v>
      </c>
      <c r="C54" s="26">
        <v>45303</v>
      </c>
      <c r="D54" s="12" t="s">
        <v>27</v>
      </c>
      <c r="E54" s="11" t="s">
        <v>14</v>
      </c>
      <c r="F54" s="12" t="s">
        <v>215</v>
      </c>
      <c r="G54" s="12" t="s">
        <v>216</v>
      </c>
      <c r="H54" s="11">
        <v>150</v>
      </c>
      <c r="I54" s="24">
        <v>2.83</v>
      </c>
      <c r="J54" s="13">
        <v>425</v>
      </c>
      <c r="K54" s="11" t="s">
        <v>17</v>
      </c>
      <c r="L54" s="19" t="s">
        <v>141</v>
      </c>
      <c r="M54" s="11" t="s">
        <v>31</v>
      </c>
    </row>
    <row r="55" spans="2:13" s="15" customFormat="1" ht="15" customHeight="1" x14ac:dyDescent="0.25">
      <c r="B55" s="11" t="s">
        <v>217</v>
      </c>
      <c r="C55" s="26">
        <v>45303</v>
      </c>
      <c r="D55" s="12" t="s">
        <v>61</v>
      </c>
      <c r="E55" s="11" t="s">
        <v>14</v>
      </c>
      <c r="F55" s="17" t="s">
        <v>218</v>
      </c>
      <c r="G55" s="12" t="s">
        <v>219</v>
      </c>
      <c r="H55" s="11">
        <v>80</v>
      </c>
      <c r="I55" s="24">
        <v>225</v>
      </c>
      <c r="J55" s="13">
        <v>4500</v>
      </c>
      <c r="K55" s="11" t="s">
        <v>25</v>
      </c>
      <c r="L55" s="19"/>
      <c r="M55" s="11" t="s">
        <v>18</v>
      </c>
    </row>
    <row r="56" spans="2:13" s="15" customFormat="1" ht="15" customHeight="1" x14ac:dyDescent="0.25">
      <c r="B56" s="11" t="s">
        <v>220</v>
      </c>
      <c r="C56" s="26">
        <v>45303</v>
      </c>
      <c r="D56" s="23" t="s">
        <v>221</v>
      </c>
      <c r="E56" s="11" t="s">
        <v>14</v>
      </c>
      <c r="F56" s="17" t="s">
        <v>222</v>
      </c>
      <c r="G56" s="23" t="s">
        <v>223</v>
      </c>
      <c r="H56" s="11">
        <v>100</v>
      </c>
      <c r="I56" s="24">
        <v>8.5</v>
      </c>
      <c r="J56" s="13">
        <v>850</v>
      </c>
      <c r="K56" s="11" t="s">
        <v>17</v>
      </c>
      <c r="L56" s="19"/>
      <c r="M56" s="11" t="s">
        <v>18</v>
      </c>
    </row>
    <row r="57" spans="2:13" s="15" customFormat="1" ht="15" customHeight="1" x14ac:dyDescent="0.25">
      <c r="B57" s="11" t="s">
        <v>224</v>
      </c>
      <c r="C57" s="26">
        <v>45303</v>
      </c>
      <c r="D57" s="17" t="s">
        <v>225</v>
      </c>
      <c r="E57" s="11" t="s">
        <v>14</v>
      </c>
      <c r="F57" s="23" t="s">
        <v>22</v>
      </c>
      <c r="G57" s="31" t="s">
        <v>226</v>
      </c>
      <c r="H57" s="11">
        <v>2000</v>
      </c>
      <c r="I57" s="24">
        <v>0.42499999999999999</v>
      </c>
      <c r="J57" s="13">
        <v>850</v>
      </c>
      <c r="K57" s="11" t="s">
        <v>25</v>
      </c>
      <c r="L57" s="19"/>
      <c r="M57" s="11" t="s">
        <v>18</v>
      </c>
    </row>
    <row r="58" spans="2:13" s="15" customFormat="1" ht="15" customHeight="1" x14ac:dyDescent="0.25">
      <c r="B58" s="11" t="s">
        <v>227</v>
      </c>
      <c r="C58" s="26">
        <v>45304</v>
      </c>
      <c r="D58" s="17" t="s">
        <v>228</v>
      </c>
      <c r="E58" s="11" t="s">
        <v>14</v>
      </c>
      <c r="F58" s="17" t="s">
        <v>229</v>
      </c>
      <c r="G58" s="31" t="s">
        <v>230</v>
      </c>
      <c r="H58" s="11">
        <v>100</v>
      </c>
      <c r="I58" s="24">
        <v>3</v>
      </c>
      <c r="J58" s="13">
        <v>200</v>
      </c>
      <c r="K58" s="11" t="s">
        <v>25</v>
      </c>
      <c r="L58" s="19" t="s">
        <v>112</v>
      </c>
      <c r="M58" s="11" t="s">
        <v>31</v>
      </c>
    </row>
    <row r="59" spans="2:13" s="15" customFormat="1" ht="15" customHeight="1" x14ac:dyDescent="0.25">
      <c r="B59" s="11" t="s">
        <v>231</v>
      </c>
      <c r="C59" s="26">
        <v>45306</v>
      </c>
      <c r="D59" s="12" t="s">
        <v>232</v>
      </c>
      <c r="E59" s="11" t="s">
        <v>14</v>
      </c>
      <c r="F59" s="12" t="s">
        <v>233</v>
      </c>
      <c r="G59" s="12" t="s">
        <v>234</v>
      </c>
      <c r="H59" s="11">
        <v>500</v>
      </c>
      <c r="I59" s="24">
        <v>0.93</v>
      </c>
      <c r="J59" s="24">
        <v>465</v>
      </c>
      <c r="K59" s="11" t="s">
        <v>72</v>
      </c>
      <c r="L59" s="19"/>
      <c r="M59" s="11" t="s">
        <v>18</v>
      </c>
    </row>
    <row r="60" spans="2:13" s="15" customFormat="1" ht="15" customHeight="1" x14ac:dyDescent="0.25">
      <c r="B60" s="11" t="s">
        <v>235</v>
      </c>
      <c r="C60" s="26">
        <v>45306</v>
      </c>
      <c r="D60" s="12" t="s">
        <v>232</v>
      </c>
      <c r="E60" s="11" t="s">
        <v>14</v>
      </c>
      <c r="F60" s="12" t="s">
        <v>236</v>
      </c>
      <c r="G60" s="23" t="s">
        <v>237</v>
      </c>
      <c r="H60" s="11">
        <v>100</v>
      </c>
      <c r="I60" s="24">
        <v>5.95</v>
      </c>
      <c r="J60" s="13">
        <v>595</v>
      </c>
      <c r="K60" s="11" t="s">
        <v>72</v>
      </c>
      <c r="L60" s="19"/>
      <c r="M60" s="11" t="s">
        <v>18</v>
      </c>
    </row>
    <row r="61" spans="2:13" s="15" customFormat="1" ht="15" customHeight="1" x14ac:dyDescent="0.25">
      <c r="B61" s="11" t="s">
        <v>238</v>
      </c>
      <c r="C61" s="26">
        <v>45306</v>
      </c>
      <c r="D61" s="12" t="s">
        <v>232</v>
      </c>
      <c r="E61" s="11" t="s">
        <v>14</v>
      </c>
      <c r="F61" s="17" t="s">
        <v>239</v>
      </c>
      <c r="G61" s="23" t="s">
        <v>240</v>
      </c>
      <c r="H61" s="11">
        <v>100</v>
      </c>
      <c r="I61" s="24">
        <v>3.9</v>
      </c>
      <c r="J61" s="13">
        <v>390</v>
      </c>
      <c r="K61" s="11" t="s">
        <v>72</v>
      </c>
      <c r="L61" s="19"/>
      <c r="M61" s="11" t="s">
        <v>18</v>
      </c>
    </row>
    <row r="62" spans="2:13" s="15" customFormat="1" ht="15" customHeight="1" x14ac:dyDescent="0.25">
      <c r="B62" s="11" t="s">
        <v>157</v>
      </c>
      <c r="C62" s="26">
        <v>45306</v>
      </c>
      <c r="D62" s="12" t="s">
        <v>241</v>
      </c>
      <c r="E62" s="11" t="s">
        <v>14</v>
      </c>
      <c r="F62" s="17" t="s">
        <v>242</v>
      </c>
      <c r="G62" s="12" t="s">
        <v>243</v>
      </c>
      <c r="H62" s="11">
        <v>1000</v>
      </c>
      <c r="I62" s="24">
        <v>0.47</v>
      </c>
      <c r="J62" s="13">
        <v>470</v>
      </c>
      <c r="K62" s="11" t="s">
        <v>17</v>
      </c>
      <c r="L62" s="19" t="s">
        <v>118</v>
      </c>
      <c r="M62" s="11" t="s">
        <v>31</v>
      </c>
    </row>
    <row r="63" spans="2:13" s="15" customFormat="1" ht="15" customHeight="1" x14ac:dyDescent="0.25">
      <c r="B63" s="11" t="s">
        <v>244</v>
      </c>
      <c r="C63" s="26">
        <v>45309</v>
      </c>
      <c r="D63" s="12" t="s">
        <v>245</v>
      </c>
      <c r="E63" s="11" t="s">
        <v>21</v>
      </c>
      <c r="F63" s="17" t="s">
        <v>246</v>
      </c>
      <c r="G63" s="12" t="s">
        <v>247</v>
      </c>
      <c r="H63" s="11">
        <v>25</v>
      </c>
      <c r="I63" s="24">
        <v>19</v>
      </c>
      <c r="J63" s="13">
        <v>475</v>
      </c>
      <c r="K63" s="11" t="s">
        <v>72</v>
      </c>
      <c r="L63" s="19"/>
      <c r="M63" s="11" t="s">
        <v>18</v>
      </c>
    </row>
    <row r="64" spans="2:13" s="15" customFormat="1" ht="15" customHeight="1" x14ac:dyDescent="0.25">
      <c r="B64" s="11" t="s">
        <v>125</v>
      </c>
      <c r="C64" s="26">
        <v>45307</v>
      </c>
      <c r="D64" s="12" t="s">
        <v>248</v>
      </c>
      <c r="E64" s="11" t="s">
        <v>14</v>
      </c>
      <c r="F64" s="12" t="s">
        <v>249</v>
      </c>
      <c r="G64" s="12" t="s">
        <v>250</v>
      </c>
      <c r="H64" s="11">
        <v>72</v>
      </c>
      <c r="I64" s="24">
        <v>154.5</v>
      </c>
      <c r="J64" s="13">
        <v>955</v>
      </c>
      <c r="K64" s="11" t="s">
        <v>17</v>
      </c>
      <c r="L64" s="19" t="s">
        <v>126</v>
      </c>
      <c r="M64" s="11" t="s">
        <v>31</v>
      </c>
    </row>
    <row r="65" spans="2:13" s="15" customFormat="1" ht="15" customHeight="1" x14ac:dyDescent="0.25">
      <c r="B65" s="11" t="s">
        <v>251</v>
      </c>
      <c r="C65" s="26">
        <v>45307</v>
      </c>
      <c r="D65" s="12" t="s">
        <v>252</v>
      </c>
      <c r="E65" s="11" t="s">
        <v>21</v>
      </c>
      <c r="F65" s="12" t="s">
        <v>107</v>
      </c>
      <c r="G65" s="12" t="s">
        <v>253</v>
      </c>
      <c r="H65" s="11">
        <v>250</v>
      </c>
      <c r="I65" s="24">
        <v>33.5</v>
      </c>
      <c r="J65" s="13">
        <v>8375</v>
      </c>
      <c r="K65" s="11" t="s">
        <v>25</v>
      </c>
      <c r="L65" s="19"/>
      <c r="M65" s="11" t="s">
        <v>18</v>
      </c>
    </row>
    <row r="66" spans="2:13" s="15" customFormat="1" ht="15" customHeight="1" x14ac:dyDescent="0.25">
      <c r="B66" s="11" t="s">
        <v>254</v>
      </c>
      <c r="C66" s="26">
        <v>45313</v>
      </c>
      <c r="D66" s="12" t="s">
        <v>255</v>
      </c>
      <c r="E66" s="11" t="s">
        <v>21</v>
      </c>
      <c r="F66" s="17" t="s">
        <v>256</v>
      </c>
      <c r="G66" s="12" t="s">
        <v>257</v>
      </c>
      <c r="H66" s="11">
        <v>1800</v>
      </c>
      <c r="I66" s="24">
        <v>88.4</v>
      </c>
      <c r="J66" s="13">
        <v>39370</v>
      </c>
      <c r="K66" s="11" t="s">
        <v>17</v>
      </c>
      <c r="L66" s="19"/>
      <c r="M66" s="11" t="s">
        <v>18</v>
      </c>
    </row>
    <row r="67" spans="2:13" s="15" customFormat="1" ht="15" customHeight="1" x14ac:dyDescent="0.25">
      <c r="B67" s="11" t="s">
        <v>258</v>
      </c>
      <c r="C67" s="26">
        <v>45307</v>
      </c>
      <c r="D67" s="12" t="s">
        <v>241</v>
      </c>
      <c r="E67" s="11" t="s">
        <v>14</v>
      </c>
      <c r="F67" s="12" t="s">
        <v>259</v>
      </c>
      <c r="G67" s="12" t="s">
        <v>260</v>
      </c>
      <c r="H67" s="11">
        <v>11</v>
      </c>
      <c r="I67" s="24">
        <v>390</v>
      </c>
      <c r="J67" s="13">
        <v>4290</v>
      </c>
      <c r="K67" s="11" t="s">
        <v>17</v>
      </c>
      <c r="L67" s="19" t="s">
        <v>261</v>
      </c>
      <c r="M67" s="11" t="s">
        <v>31</v>
      </c>
    </row>
    <row r="68" spans="2:13" s="15" customFormat="1" ht="15" customHeight="1" x14ac:dyDescent="0.25">
      <c r="B68" s="11" t="s">
        <v>262</v>
      </c>
      <c r="C68" s="26">
        <v>45307</v>
      </c>
      <c r="D68" s="12" t="s">
        <v>170</v>
      </c>
      <c r="E68" s="11" t="s">
        <v>14</v>
      </c>
      <c r="F68" s="12" t="s">
        <v>263</v>
      </c>
      <c r="G68" s="12" t="s">
        <v>264</v>
      </c>
      <c r="H68" s="11">
        <v>201</v>
      </c>
      <c r="I68" s="24">
        <v>155.97</v>
      </c>
      <c r="J68" s="13">
        <v>350</v>
      </c>
      <c r="K68" s="11" t="s">
        <v>17</v>
      </c>
      <c r="L68" s="19" t="s">
        <v>129</v>
      </c>
      <c r="M68" s="11" t="s">
        <v>31</v>
      </c>
    </row>
    <row r="69" spans="2:13" s="15" customFormat="1" ht="15" customHeight="1" x14ac:dyDescent="0.25">
      <c r="B69" s="11" t="s">
        <v>265</v>
      </c>
      <c r="C69" s="26">
        <v>45307</v>
      </c>
      <c r="D69" s="12" t="s">
        <v>266</v>
      </c>
      <c r="E69" s="11" t="s">
        <v>21</v>
      </c>
      <c r="F69" s="23" t="s">
        <v>267</v>
      </c>
      <c r="G69" s="12" t="s">
        <v>247</v>
      </c>
      <c r="H69" s="11">
        <v>1020</v>
      </c>
      <c r="I69" s="24">
        <v>22.87</v>
      </c>
      <c r="J69" s="24">
        <v>825</v>
      </c>
      <c r="K69" s="11" t="s">
        <v>72</v>
      </c>
      <c r="L69" s="19"/>
      <c r="M69" s="11" t="s">
        <v>18</v>
      </c>
    </row>
    <row r="70" spans="2:13" s="15" customFormat="1" ht="15" customHeight="1" x14ac:dyDescent="0.25">
      <c r="B70" s="11" t="s">
        <v>268</v>
      </c>
      <c r="C70" s="26">
        <v>45308</v>
      </c>
      <c r="D70" s="12" t="s">
        <v>269</v>
      </c>
      <c r="E70" s="11" t="s">
        <v>21</v>
      </c>
      <c r="F70" s="23" t="s">
        <v>270</v>
      </c>
      <c r="G70" s="17" t="s">
        <v>271</v>
      </c>
      <c r="H70" s="11">
        <v>2050</v>
      </c>
      <c r="I70" s="24">
        <v>2.89</v>
      </c>
      <c r="J70" s="24">
        <v>915</v>
      </c>
      <c r="K70" s="11" t="s">
        <v>72</v>
      </c>
      <c r="L70" s="19"/>
      <c r="M70" s="11" t="s">
        <v>18</v>
      </c>
    </row>
    <row r="71" spans="2:13" s="15" customFormat="1" ht="15" customHeight="1" x14ac:dyDescent="0.25">
      <c r="B71" s="11" t="s">
        <v>272</v>
      </c>
      <c r="C71" s="26">
        <v>45308</v>
      </c>
      <c r="D71" s="12" t="s">
        <v>273</v>
      </c>
      <c r="E71" s="11" t="s">
        <v>14</v>
      </c>
      <c r="F71" s="12" t="s">
        <v>274</v>
      </c>
      <c r="G71" s="12" t="s">
        <v>275</v>
      </c>
      <c r="H71" s="11">
        <v>10</v>
      </c>
      <c r="I71" s="24">
        <v>38</v>
      </c>
      <c r="J71" s="13">
        <v>380</v>
      </c>
      <c r="K71" s="11" t="s">
        <v>25</v>
      </c>
      <c r="L71" s="19" t="s">
        <v>158</v>
      </c>
      <c r="M71" s="11" t="s">
        <v>31</v>
      </c>
    </row>
    <row r="72" spans="2:13" s="15" customFormat="1" ht="15" customHeight="1" x14ac:dyDescent="0.25">
      <c r="B72" s="11" t="s">
        <v>276</v>
      </c>
      <c r="C72" s="26">
        <v>45308</v>
      </c>
      <c r="D72" s="12" t="s">
        <v>33</v>
      </c>
      <c r="E72" s="11" t="s">
        <v>14</v>
      </c>
      <c r="F72" s="12" t="s">
        <v>277</v>
      </c>
      <c r="G72" s="12" t="s">
        <v>278</v>
      </c>
      <c r="H72" s="11">
        <v>10</v>
      </c>
      <c r="I72" s="24">
        <v>315</v>
      </c>
      <c r="J72" s="13">
        <v>3150</v>
      </c>
      <c r="K72" s="11" t="s">
        <v>25</v>
      </c>
      <c r="L72" s="19"/>
      <c r="M72" s="11" t="s">
        <v>18</v>
      </c>
    </row>
    <row r="73" spans="2:13" s="15" customFormat="1" ht="15" customHeight="1" x14ac:dyDescent="0.25">
      <c r="B73" s="11" t="s">
        <v>279</v>
      </c>
      <c r="C73" s="26">
        <v>45308</v>
      </c>
      <c r="D73" s="12" t="s">
        <v>203</v>
      </c>
      <c r="E73" s="11" t="s">
        <v>14</v>
      </c>
      <c r="F73" s="12" t="s">
        <v>280</v>
      </c>
      <c r="G73" s="12" t="s">
        <v>281</v>
      </c>
      <c r="H73" s="11">
        <v>8</v>
      </c>
      <c r="I73" s="24">
        <v>3.5</v>
      </c>
      <c r="J73" s="13">
        <v>28</v>
      </c>
      <c r="K73" s="11" t="s">
        <v>17</v>
      </c>
      <c r="L73" s="19" t="s">
        <v>282</v>
      </c>
      <c r="M73" s="11" t="s">
        <v>31</v>
      </c>
    </row>
    <row r="74" spans="2:13" s="15" customFormat="1" ht="15" customHeight="1" x14ac:dyDescent="0.25">
      <c r="B74" s="11" t="s">
        <v>283</v>
      </c>
      <c r="C74" s="26">
        <v>45341</v>
      </c>
      <c r="D74" s="12" t="s">
        <v>284</v>
      </c>
      <c r="E74" s="11" t="s">
        <v>14</v>
      </c>
      <c r="F74" s="12" t="s">
        <v>285</v>
      </c>
      <c r="G74" s="12" t="s">
        <v>286</v>
      </c>
      <c r="H74" s="11">
        <v>680</v>
      </c>
      <c r="I74" s="24">
        <v>79.16</v>
      </c>
      <c r="J74" s="13">
        <v>2715</v>
      </c>
      <c r="K74" s="11" t="s">
        <v>17</v>
      </c>
      <c r="L74" s="19" t="s">
        <v>287</v>
      </c>
      <c r="M74" s="11" t="s">
        <v>31</v>
      </c>
    </row>
    <row r="75" spans="2:13" s="15" customFormat="1" ht="15" customHeight="1" x14ac:dyDescent="0.25">
      <c r="B75" s="11" t="s">
        <v>288</v>
      </c>
      <c r="C75" s="26">
        <v>45310</v>
      </c>
      <c r="D75" s="12" t="s">
        <v>150</v>
      </c>
      <c r="E75" s="11" t="s">
        <v>14</v>
      </c>
      <c r="F75" s="12" t="s">
        <v>289</v>
      </c>
      <c r="G75" s="12" t="s">
        <v>290</v>
      </c>
      <c r="H75" s="11">
        <v>50</v>
      </c>
      <c r="I75" s="24">
        <v>14.5</v>
      </c>
      <c r="J75" s="13">
        <v>725</v>
      </c>
      <c r="K75" s="11" t="s">
        <v>17</v>
      </c>
      <c r="L75" s="19" t="s">
        <v>149</v>
      </c>
      <c r="M75" s="11" t="s">
        <v>31</v>
      </c>
    </row>
    <row r="76" spans="2:13" s="15" customFormat="1" ht="15" customHeight="1" x14ac:dyDescent="0.25">
      <c r="B76" s="11" t="s">
        <v>291</v>
      </c>
      <c r="C76" s="26">
        <v>45322</v>
      </c>
      <c r="D76" s="12" t="s">
        <v>292</v>
      </c>
      <c r="E76" s="11" t="s">
        <v>14</v>
      </c>
      <c r="F76" s="23" t="s">
        <v>293</v>
      </c>
      <c r="G76" s="12" t="s">
        <v>294</v>
      </c>
      <c r="H76" s="11">
        <v>232</v>
      </c>
      <c r="I76" s="24">
        <v>13.31</v>
      </c>
      <c r="J76" s="24">
        <v>915</v>
      </c>
      <c r="K76" s="11" t="s">
        <v>25</v>
      </c>
      <c r="L76" s="19" t="s">
        <v>295</v>
      </c>
      <c r="M76" s="11" t="s">
        <v>31</v>
      </c>
    </row>
    <row r="77" spans="2:13" s="15" customFormat="1" ht="15" customHeight="1" x14ac:dyDescent="0.25">
      <c r="B77" s="11" t="s">
        <v>296</v>
      </c>
      <c r="C77" s="26">
        <v>45317</v>
      </c>
      <c r="D77" s="23" t="s">
        <v>297</v>
      </c>
      <c r="E77" s="11" t="s">
        <v>14</v>
      </c>
      <c r="F77" s="23" t="s">
        <v>298</v>
      </c>
      <c r="G77" s="31" t="s">
        <v>299</v>
      </c>
      <c r="H77" s="11">
        <v>4000</v>
      </c>
      <c r="I77" s="24">
        <v>1.25</v>
      </c>
      <c r="J77" s="24">
        <v>5000</v>
      </c>
      <c r="K77" s="11" t="s">
        <v>25</v>
      </c>
      <c r="L77" s="19" t="s">
        <v>300</v>
      </c>
      <c r="M77" s="11" t="s">
        <v>31</v>
      </c>
    </row>
    <row r="78" spans="2:13" s="15" customFormat="1" ht="15" customHeight="1" x14ac:dyDescent="0.25">
      <c r="B78" s="11" t="s">
        <v>301</v>
      </c>
      <c r="C78" s="26">
        <v>45310</v>
      </c>
      <c r="D78" s="23" t="s">
        <v>302</v>
      </c>
      <c r="E78" s="11" t="s">
        <v>21</v>
      </c>
      <c r="F78" s="23" t="s">
        <v>233</v>
      </c>
      <c r="G78" s="23" t="s">
        <v>303</v>
      </c>
      <c r="H78" s="11">
        <v>200</v>
      </c>
      <c r="I78" s="24">
        <v>1.25</v>
      </c>
      <c r="J78" s="13">
        <v>250</v>
      </c>
      <c r="K78" s="11" t="s">
        <v>25</v>
      </c>
      <c r="L78" s="19" t="s">
        <v>196</v>
      </c>
      <c r="M78" s="11" t="s">
        <v>31</v>
      </c>
    </row>
    <row r="79" spans="2:13" s="15" customFormat="1" ht="15" customHeight="1" x14ac:dyDescent="0.25">
      <c r="B79" s="11" t="s">
        <v>304</v>
      </c>
      <c r="C79" s="26">
        <v>45314</v>
      </c>
      <c r="D79" s="23" t="s">
        <v>305</v>
      </c>
      <c r="E79" s="11" t="s">
        <v>14</v>
      </c>
      <c r="F79" s="23" t="s">
        <v>233</v>
      </c>
      <c r="G79" s="23" t="s">
        <v>303</v>
      </c>
      <c r="H79" s="11">
        <v>200</v>
      </c>
      <c r="I79" s="24">
        <v>1.25</v>
      </c>
      <c r="J79" s="13">
        <v>250</v>
      </c>
      <c r="K79" s="11" t="s">
        <v>25</v>
      </c>
      <c r="L79" s="19" t="s">
        <v>306</v>
      </c>
      <c r="M79" s="11" t="s">
        <v>31</v>
      </c>
    </row>
    <row r="80" spans="2:13" s="15" customFormat="1" ht="15" customHeight="1" x14ac:dyDescent="0.25">
      <c r="B80" s="11" t="s">
        <v>307</v>
      </c>
      <c r="C80" s="26">
        <v>45310</v>
      </c>
      <c r="D80" s="23" t="s">
        <v>308</v>
      </c>
      <c r="E80" s="11" t="s">
        <v>14</v>
      </c>
      <c r="F80" s="23" t="s">
        <v>233</v>
      </c>
      <c r="G80" s="23" t="s">
        <v>303</v>
      </c>
      <c r="H80" s="11">
        <v>100</v>
      </c>
      <c r="I80" s="24">
        <v>2</v>
      </c>
      <c r="J80" s="13">
        <v>200</v>
      </c>
      <c r="K80" s="11" t="s">
        <v>25</v>
      </c>
      <c r="L80" s="19" t="s">
        <v>202</v>
      </c>
      <c r="M80" s="11" t="s">
        <v>31</v>
      </c>
    </row>
    <row r="81" spans="2:13" s="15" customFormat="1" ht="15" customHeight="1" x14ac:dyDescent="0.25">
      <c r="B81" s="11" t="s">
        <v>309</v>
      </c>
      <c r="C81" s="26">
        <v>45310</v>
      </c>
      <c r="D81" s="23" t="s">
        <v>82</v>
      </c>
      <c r="E81" s="11" t="s">
        <v>14</v>
      </c>
      <c r="F81" s="23" t="s">
        <v>310</v>
      </c>
      <c r="G81" s="23" t="s">
        <v>311</v>
      </c>
      <c r="H81" s="11">
        <v>3000</v>
      </c>
      <c r="I81" s="24">
        <v>0.375</v>
      </c>
      <c r="J81" s="13">
        <v>1125</v>
      </c>
      <c r="K81" s="11" t="s">
        <v>17</v>
      </c>
      <c r="L81" s="19" t="s">
        <v>312</v>
      </c>
      <c r="M81" s="11" t="s">
        <v>31</v>
      </c>
    </row>
    <row r="82" spans="2:13" s="15" customFormat="1" ht="15" customHeight="1" x14ac:dyDescent="0.25">
      <c r="B82" s="11" t="s">
        <v>313</v>
      </c>
      <c r="C82" s="26">
        <v>45310</v>
      </c>
      <c r="D82" s="23" t="s">
        <v>314</v>
      </c>
      <c r="E82" s="11" t="s">
        <v>14</v>
      </c>
      <c r="F82" s="23" t="s">
        <v>315</v>
      </c>
      <c r="G82" s="23" t="s">
        <v>316</v>
      </c>
      <c r="H82" s="11">
        <v>2</v>
      </c>
      <c r="I82" s="24">
        <v>435</v>
      </c>
      <c r="J82" s="24">
        <v>435</v>
      </c>
      <c r="K82" s="11" t="s">
        <v>17</v>
      </c>
      <c r="L82" s="19" t="s">
        <v>184</v>
      </c>
      <c r="M82" s="11" t="s">
        <v>31</v>
      </c>
    </row>
    <row r="83" spans="2:13" s="15" customFormat="1" ht="15" customHeight="1" x14ac:dyDescent="0.25">
      <c r="B83" s="11" t="s">
        <v>317</v>
      </c>
      <c r="C83" s="26">
        <v>45310</v>
      </c>
      <c r="D83" s="23" t="s">
        <v>199</v>
      </c>
      <c r="E83" s="11" t="s">
        <v>14</v>
      </c>
      <c r="F83" s="23" t="s">
        <v>318</v>
      </c>
      <c r="G83" s="31" t="s">
        <v>319</v>
      </c>
      <c r="H83" s="11">
        <v>20</v>
      </c>
      <c r="I83" s="24">
        <v>68</v>
      </c>
      <c r="J83" s="13">
        <v>1360</v>
      </c>
      <c r="K83" s="11" t="s">
        <v>17</v>
      </c>
      <c r="L83" s="19"/>
      <c r="M83" s="11" t="s">
        <v>18</v>
      </c>
    </row>
    <row r="84" spans="2:13" s="15" customFormat="1" ht="15" customHeight="1" x14ac:dyDescent="0.25">
      <c r="B84" s="11" t="s">
        <v>320</v>
      </c>
      <c r="C84" s="26">
        <v>45310</v>
      </c>
      <c r="D84" s="23" t="s">
        <v>321</v>
      </c>
      <c r="E84" s="11" t="s">
        <v>21</v>
      </c>
      <c r="F84" s="23" t="s">
        <v>322</v>
      </c>
      <c r="G84" s="23" t="s">
        <v>323</v>
      </c>
      <c r="H84" s="11">
        <v>1</v>
      </c>
      <c r="I84" s="24">
        <v>1250</v>
      </c>
      <c r="J84" s="24">
        <v>1250</v>
      </c>
      <c r="K84" s="11" t="s">
        <v>17</v>
      </c>
      <c r="L84" s="19" t="s">
        <v>162</v>
      </c>
      <c r="M84" s="11" t="s">
        <v>31</v>
      </c>
    </row>
    <row r="85" spans="2:13" s="15" customFormat="1" ht="15" customHeight="1" x14ac:dyDescent="0.25">
      <c r="B85" s="11" t="s">
        <v>324</v>
      </c>
      <c r="C85" s="26">
        <v>45316</v>
      </c>
      <c r="D85" s="23" t="s">
        <v>325</v>
      </c>
      <c r="E85" s="11" t="s">
        <v>14</v>
      </c>
      <c r="F85" s="23" t="s">
        <v>326</v>
      </c>
      <c r="G85" t="s">
        <v>327</v>
      </c>
      <c r="H85" s="11">
        <v>100</v>
      </c>
      <c r="I85" s="24">
        <v>39.5</v>
      </c>
      <c r="J85" s="13">
        <v>3950</v>
      </c>
      <c r="K85" s="11" t="s">
        <v>17</v>
      </c>
      <c r="L85" s="19" t="s">
        <v>206</v>
      </c>
      <c r="M85" s="11" t="s">
        <v>31</v>
      </c>
    </row>
    <row r="86" spans="2:13" s="15" customFormat="1" ht="15" customHeight="1" x14ac:dyDescent="0.25">
      <c r="B86" s="11" t="s">
        <v>328</v>
      </c>
      <c r="C86" s="26">
        <v>45310</v>
      </c>
      <c r="D86" s="23" t="s">
        <v>329</v>
      </c>
      <c r="E86" s="11" t="s">
        <v>14</v>
      </c>
      <c r="F86" s="23" t="s">
        <v>330</v>
      </c>
      <c r="G86" s="31" t="s">
        <v>331</v>
      </c>
      <c r="H86" s="11">
        <v>800</v>
      </c>
      <c r="I86" s="24">
        <f>48+21.25</f>
        <v>69.25</v>
      </c>
      <c r="J86" s="13">
        <v>22275</v>
      </c>
      <c r="K86" s="11" t="s">
        <v>17</v>
      </c>
      <c r="L86" s="19"/>
      <c r="M86" s="11" t="s">
        <v>18</v>
      </c>
    </row>
    <row r="87" spans="2:13" s="15" customFormat="1" ht="15" customHeight="1" x14ac:dyDescent="0.25">
      <c r="B87" s="11" t="s">
        <v>332</v>
      </c>
      <c r="C87" s="26">
        <v>45310</v>
      </c>
      <c r="D87" s="23" t="s">
        <v>199</v>
      </c>
      <c r="E87" s="11" t="s">
        <v>14</v>
      </c>
      <c r="F87" s="23" t="s">
        <v>333</v>
      </c>
      <c r="G87" s="23" t="s">
        <v>334</v>
      </c>
      <c r="H87" s="11">
        <v>96</v>
      </c>
      <c r="I87" s="24">
        <v>39</v>
      </c>
      <c r="J87" s="24">
        <v>3744</v>
      </c>
      <c r="K87" s="11" t="s">
        <v>17</v>
      </c>
      <c r="L87" s="19"/>
      <c r="M87" s="11" t="s">
        <v>18</v>
      </c>
    </row>
    <row r="88" spans="2:13" s="15" customFormat="1" ht="15" customHeight="1" x14ac:dyDescent="0.25">
      <c r="B88" s="11" t="s">
        <v>335</v>
      </c>
      <c r="C88" s="26">
        <v>45329</v>
      </c>
      <c r="D88" s="23" t="s">
        <v>336</v>
      </c>
      <c r="E88" s="11" t="s">
        <v>14</v>
      </c>
      <c r="F88" s="23" t="s">
        <v>66</v>
      </c>
      <c r="G88" s="23" t="s">
        <v>337</v>
      </c>
      <c r="H88" s="11">
        <v>13</v>
      </c>
      <c r="I88" s="24">
        <v>288</v>
      </c>
      <c r="J88" s="24">
        <v>746</v>
      </c>
      <c r="K88" s="11" t="s">
        <v>17</v>
      </c>
      <c r="L88" s="19"/>
      <c r="M88" s="11" t="s">
        <v>18</v>
      </c>
    </row>
    <row r="89" spans="2:13" s="15" customFormat="1" ht="15" customHeight="1" x14ac:dyDescent="0.25">
      <c r="B89" s="11" t="s">
        <v>338</v>
      </c>
      <c r="C89" s="26">
        <v>45311</v>
      </c>
      <c r="D89" s="23" t="s">
        <v>336</v>
      </c>
      <c r="E89" s="11" t="s">
        <v>14</v>
      </c>
      <c r="F89" s="23" t="s">
        <v>339</v>
      </c>
      <c r="G89" s="31" t="s">
        <v>340</v>
      </c>
      <c r="H89" s="11">
        <v>20</v>
      </c>
      <c r="I89" s="24">
        <v>34</v>
      </c>
      <c r="J89" s="24">
        <v>680</v>
      </c>
      <c r="K89" s="11" t="s">
        <v>17</v>
      </c>
      <c r="L89" s="19"/>
      <c r="M89" s="11" t="s">
        <v>18</v>
      </c>
    </row>
    <row r="90" spans="2:13" s="15" customFormat="1" ht="15" customHeight="1" x14ac:dyDescent="0.25">
      <c r="B90" s="11" t="s">
        <v>341</v>
      </c>
      <c r="C90" s="26">
        <v>45311</v>
      </c>
      <c r="D90" s="23" t="s">
        <v>342</v>
      </c>
      <c r="E90" s="11" t="s">
        <v>14</v>
      </c>
      <c r="F90" s="23" t="s">
        <v>343</v>
      </c>
      <c r="G90" s="31" t="s">
        <v>344</v>
      </c>
      <c r="H90" s="11">
        <v>1</v>
      </c>
      <c r="I90" s="24">
        <v>27500</v>
      </c>
      <c r="J90" s="24">
        <v>27500</v>
      </c>
      <c r="K90" s="11" t="s">
        <v>17</v>
      </c>
      <c r="L90" s="19"/>
      <c r="M90" s="11" t="s">
        <v>18</v>
      </c>
    </row>
    <row r="91" spans="2:13" s="15" customFormat="1" ht="15" customHeight="1" x14ac:dyDescent="0.25">
      <c r="B91" s="11" t="s">
        <v>345</v>
      </c>
      <c r="C91" s="26">
        <v>45311</v>
      </c>
      <c r="D91" s="23" t="s">
        <v>346</v>
      </c>
      <c r="E91" s="11" t="s">
        <v>14</v>
      </c>
      <c r="F91" s="23" t="s">
        <v>347</v>
      </c>
      <c r="G91" s="23" t="s">
        <v>348</v>
      </c>
      <c r="H91" s="11">
        <v>100</v>
      </c>
      <c r="I91" s="24">
        <v>13.25</v>
      </c>
      <c r="J91" s="24">
        <v>1325</v>
      </c>
      <c r="K91" s="11" t="s">
        <v>17</v>
      </c>
      <c r="L91" s="19"/>
      <c r="M91" s="11" t="s">
        <v>18</v>
      </c>
    </row>
    <row r="92" spans="2:13" s="15" customFormat="1" ht="15" customHeight="1" x14ac:dyDescent="0.25">
      <c r="B92" s="11" t="s">
        <v>312</v>
      </c>
      <c r="C92" s="26">
        <v>45311</v>
      </c>
      <c r="D92" s="23" t="s">
        <v>48</v>
      </c>
      <c r="E92" s="11" t="s">
        <v>14</v>
      </c>
      <c r="F92" s="23" t="s">
        <v>349</v>
      </c>
      <c r="G92" s="31" t="s">
        <v>350</v>
      </c>
      <c r="H92" s="11">
        <v>1</v>
      </c>
      <c r="I92" s="24">
        <v>4525</v>
      </c>
      <c r="J92" s="24">
        <v>4525</v>
      </c>
      <c r="K92" s="11" t="s">
        <v>17</v>
      </c>
      <c r="L92" s="19" t="s">
        <v>258</v>
      </c>
      <c r="M92" s="11" t="s">
        <v>31</v>
      </c>
    </row>
    <row r="93" spans="2:13" s="15" customFormat="1" ht="15" customHeight="1" x14ac:dyDescent="0.25">
      <c r="B93" s="11" t="s">
        <v>351</v>
      </c>
      <c r="C93" s="26">
        <v>45320</v>
      </c>
      <c r="D93" s="12" t="s">
        <v>352</v>
      </c>
      <c r="E93" s="11" t="s">
        <v>21</v>
      </c>
      <c r="F93" s="23" t="s">
        <v>353</v>
      </c>
      <c r="G93" s="23" t="s">
        <v>354</v>
      </c>
      <c r="H93" s="11">
        <v>132</v>
      </c>
      <c r="I93" s="24">
        <v>268.25</v>
      </c>
      <c r="J93" s="24">
        <v>1992.5</v>
      </c>
      <c r="K93" s="11" t="s">
        <v>72</v>
      </c>
      <c r="L93" s="19"/>
      <c r="M93" s="11" t="s">
        <v>18</v>
      </c>
    </row>
    <row r="94" spans="2:13" s="15" customFormat="1" ht="15" customHeight="1" x14ac:dyDescent="0.25">
      <c r="B94" s="11" t="s">
        <v>355</v>
      </c>
      <c r="C94" s="26">
        <v>45308</v>
      </c>
      <c r="D94" s="12" t="s">
        <v>241</v>
      </c>
      <c r="E94" s="11" t="s">
        <v>14</v>
      </c>
      <c r="F94" s="23" t="s">
        <v>356</v>
      </c>
      <c r="G94" s="12" t="s">
        <v>264</v>
      </c>
      <c r="H94" s="11">
        <v>500</v>
      </c>
      <c r="I94" s="24">
        <f>J94/H94</f>
        <v>0.81</v>
      </c>
      <c r="J94" s="24">
        <v>405</v>
      </c>
      <c r="K94" s="11" t="s">
        <v>17</v>
      </c>
      <c r="L94" s="19" t="s">
        <v>224</v>
      </c>
      <c r="M94" s="11" t="s">
        <v>31</v>
      </c>
    </row>
    <row r="95" spans="2:13" s="15" customFormat="1" ht="15" customHeight="1" x14ac:dyDescent="0.25">
      <c r="B95" s="11" t="s">
        <v>357</v>
      </c>
      <c r="C95" s="26">
        <v>45310</v>
      </c>
      <c r="D95" s="12" t="s">
        <v>241</v>
      </c>
      <c r="E95" s="11" t="s">
        <v>14</v>
      </c>
      <c r="F95" s="12" t="s">
        <v>358</v>
      </c>
      <c r="G95" s="12" t="s">
        <v>264</v>
      </c>
      <c r="H95" s="11">
        <v>500</v>
      </c>
      <c r="I95" s="24">
        <v>0.81</v>
      </c>
      <c r="J95" s="24">
        <v>405</v>
      </c>
      <c r="K95" s="11" t="s">
        <v>17</v>
      </c>
      <c r="L95" s="19" t="s">
        <v>220</v>
      </c>
      <c r="M95" s="11" t="s">
        <v>31</v>
      </c>
    </row>
    <row r="96" spans="2:13" s="15" customFormat="1" ht="15" customHeight="1" x14ac:dyDescent="0.25">
      <c r="B96" s="11" t="s">
        <v>359</v>
      </c>
      <c r="C96" s="26">
        <v>45314</v>
      </c>
      <c r="D96" s="12" t="s">
        <v>163</v>
      </c>
      <c r="E96" s="11" t="s">
        <v>14</v>
      </c>
      <c r="F96" s="12" t="s">
        <v>360</v>
      </c>
      <c r="G96" s="12" t="s">
        <v>361</v>
      </c>
      <c r="H96" s="11">
        <v>350</v>
      </c>
      <c r="I96" s="24">
        <v>220.5</v>
      </c>
      <c r="J96" s="24">
        <v>15200</v>
      </c>
      <c r="K96" s="11" t="s">
        <v>17</v>
      </c>
      <c r="L96" s="19"/>
      <c r="M96" s="11" t="s">
        <v>18</v>
      </c>
    </row>
    <row r="97" spans="2:13" s="15" customFormat="1" ht="15" customHeight="1" x14ac:dyDescent="0.25">
      <c r="B97" s="11" t="s">
        <v>362</v>
      </c>
      <c r="C97" s="26">
        <v>45317</v>
      </c>
      <c r="D97" s="23" t="s">
        <v>33</v>
      </c>
      <c r="E97" s="11" t="s">
        <v>14</v>
      </c>
      <c r="F97" s="23" t="s">
        <v>363</v>
      </c>
      <c r="G97" s="23" t="s">
        <v>364</v>
      </c>
      <c r="H97" s="11">
        <v>54</v>
      </c>
      <c r="I97" s="24">
        <v>324</v>
      </c>
      <c r="J97" s="24">
        <v>17496</v>
      </c>
      <c r="K97" s="11" t="s">
        <v>25</v>
      </c>
      <c r="L97" s="19"/>
      <c r="M97" s="11" t="s">
        <v>18</v>
      </c>
    </row>
    <row r="98" spans="2:13" s="15" customFormat="1" ht="15" customHeight="1" x14ac:dyDescent="0.25">
      <c r="B98" s="11" t="s">
        <v>365</v>
      </c>
      <c r="C98" s="26">
        <v>45313</v>
      </c>
      <c r="D98" s="23" t="s">
        <v>366</v>
      </c>
      <c r="E98" s="11" t="s">
        <v>21</v>
      </c>
      <c r="F98" s="23" t="s">
        <v>367</v>
      </c>
      <c r="G98" s="23" t="s">
        <v>368</v>
      </c>
      <c r="H98" s="11">
        <v>301</v>
      </c>
      <c r="I98" s="24">
        <v>696.45</v>
      </c>
      <c r="J98" s="24">
        <v>1130</v>
      </c>
      <c r="K98" s="11" t="s">
        <v>72</v>
      </c>
      <c r="L98" s="19"/>
      <c r="M98" s="11" t="s">
        <v>18</v>
      </c>
    </row>
    <row r="99" spans="2:13" s="15" customFormat="1" ht="15" customHeight="1" x14ac:dyDescent="0.25">
      <c r="B99" s="11" t="s">
        <v>369</v>
      </c>
      <c r="C99" s="26">
        <v>45314</v>
      </c>
      <c r="D99" s="23" t="s">
        <v>370</v>
      </c>
      <c r="E99" s="11" t="s">
        <v>21</v>
      </c>
      <c r="F99" s="23" t="s">
        <v>371</v>
      </c>
      <c r="G99" s="23" t="s">
        <v>372</v>
      </c>
      <c r="H99" s="11">
        <v>1</v>
      </c>
      <c r="I99" s="24">
        <v>2250</v>
      </c>
      <c r="J99" s="24">
        <v>2250</v>
      </c>
      <c r="K99" s="11" t="s">
        <v>72</v>
      </c>
      <c r="L99" s="19"/>
      <c r="M99" s="11" t="s">
        <v>18</v>
      </c>
    </row>
    <row r="100" spans="2:13" s="15" customFormat="1" ht="15" customHeight="1" x14ac:dyDescent="0.25">
      <c r="B100" s="11" t="s">
        <v>373</v>
      </c>
      <c r="C100" s="26">
        <v>45314</v>
      </c>
      <c r="D100" s="12" t="s">
        <v>370</v>
      </c>
      <c r="E100" s="11" t="s">
        <v>21</v>
      </c>
      <c r="F100" s="23" t="s">
        <v>66</v>
      </c>
      <c r="G100" s="12" t="s">
        <v>374</v>
      </c>
      <c r="H100" s="11">
        <v>20</v>
      </c>
      <c r="I100" s="24">
        <v>113</v>
      </c>
      <c r="J100" s="24">
        <v>1106</v>
      </c>
      <c r="K100" s="11" t="s">
        <v>72</v>
      </c>
      <c r="L100" s="19" t="s">
        <v>180</v>
      </c>
      <c r="M100" s="11" t="s">
        <v>31</v>
      </c>
    </row>
    <row r="101" spans="2:13" s="15" customFormat="1" ht="15" customHeight="1" x14ac:dyDescent="0.25">
      <c r="B101" s="11" t="s">
        <v>375</v>
      </c>
      <c r="C101" s="26">
        <v>45323</v>
      </c>
      <c r="D101" s="23" t="s">
        <v>93</v>
      </c>
      <c r="E101" s="11" t="s">
        <v>14</v>
      </c>
      <c r="F101" s="23" t="s">
        <v>22</v>
      </c>
      <c r="G101" s="31" t="s">
        <v>376</v>
      </c>
      <c r="H101" s="11">
        <v>750</v>
      </c>
      <c r="I101" s="24">
        <v>1.5</v>
      </c>
      <c r="J101" s="24">
        <v>1125</v>
      </c>
      <c r="K101" s="11" t="s">
        <v>25</v>
      </c>
      <c r="L101" s="19"/>
      <c r="M101" s="11" t="s">
        <v>18</v>
      </c>
    </row>
    <row r="102" spans="2:13" s="15" customFormat="1" ht="15" customHeight="1" x14ac:dyDescent="0.25">
      <c r="B102" s="11" t="s">
        <v>377</v>
      </c>
      <c r="C102" s="26">
        <v>45314</v>
      </c>
      <c r="D102" s="23" t="s">
        <v>181</v>
      </c>
      <c r="E102" s="11" t="s">
        <v>14</v>
      </c>
      <c r="F102" s="23" t="s">
        <v>378</v>
      </c>
      <c r="G102" s="31" t="s">
        <v>379</v>
      </c>
      <c r="H102" s="11">
        <v>5</v>
      </c>
      <c r="I102" s="24">
        <v>4600</v>
      </c>
      <c r="J102" s="24">
        <v>4600</v>
      </c>
      <c r="K102" s="11" t="s">
        <v>25</v>
      </c>
      <c r="L102" s="19"/>
      <c r="M102" s="11" t="s">
        <v>18</v>
      </c>
    </row>
    <row r="103" spans="2:13" s="15" customFormat="1" ht="15" customHeight="1" x14ac:dyDescent="0.25">
      <c r="B103" s="11" t="s">
        <v>380</v>
      </c>
      <c r="C103" s="26">
        <v>45324</v>
      </c>
      <c r="D103" s="23" t="s">
        <v>381</v>
      </c>
      <c r="E103" s="11" t="s">
        <v>14</v>
      </c>
      <c r="F103" s="23" t="s">
        <v>382</v>
      </c>
      <c r="G103" s="23" t="s">
        <v>383</v>
      </c>
      <c r="H103" s="11">
        <v>2059</v>
      </c>
      <c r="I103" s="24">
        <v>177.05</v>
      </c>
      <c r="J103" s="24">
        <v>16557.5</v>
      </c>
      <c r="K103" s="11" t="s">
        <v>25</v>
      </c>
      <c r="L103" s="19" t="s">
        <v>235</v>
      </c>
      <c r="M103" s="11" t="s">
        <v>31</v>
      </c>
    </row>
    <row r="104" spans="2:13" s="15" customFormat="1" ht="15" customHeight="1" x14ac:dyDescent="0.25">
      <c r="B104" s="11" t="s">
        <v>384</v>
      </c>
      <c r="C104" s="26">
        <v>45314</v>
      </c>
      <c r="D104" s="23" t="s">
        <v>228</v>
      </c>
      <c r="E104" s="11" t="s">
        <v>14</v>
      </c>
      <c r="F104" s="23" t="s">
        <v>385</v>
      </c>
      <c r="G104" s="23" t="s">
        <v>386</v>
      </c>
      <c r="H104" s="11">
        <v>75</v>
      </c>
      <c r="I104" s="24">
        <v>29</v>
      </c>
      <c r="J104" s="24">
        <v>2175</v>
      </c>
      <c r="K104" s="11" t="s">
        <v>25</v>
      </c>
      <c r="L104" s="19"/>
      <c r="M104" s="11" t="s">
        <v>18</v>
      </c>
    </row>
    <row r="105" spans="2:13" s="15" customFormat="1" ht="15" customHeight="1" x14ac:dyDescent="0.25">
      <c r="B105" s="11" t="s">
        <v>387</v>
      </c>
      <c r="C105" s="26">
        <v>45314</v>
      </c>
      <c r="D105" s="23" t="s">
        <v>388</v>
      </c>
      <c r="E105" s="11" t="s">
        <v>14</v>
      </c>
      <c r="F105" s="23" t="s">
        <v>66</v>
      </c>
      <c r="G105" s="23" t="s">
        <v>389</v>
      </c>
      <c r="H105" s="11">
        <v>38</v>
      </c>
      <c r="I105" s="24">
        <v>48</v>
      </c>
      <c r="J105" s="24">
        <v>1824</v>
      </c>
      <c r="K105" s="11" t="s">
        <v>25</v>
      </c>
      <c r="L105" s="19" t="s">
        <v>390</v>
      </c>
      <c r="M105" s="11" t="s">
        <v>31</v>
      </c>
    </row>
    <row r="106" spans="2:13" s="15" customFormat="1" ht="15" customHeight="1" x14ac:dyDescent="0.25">
      <c r="B106" s="11" t="s">
        <v>391</v>
      </c>
      <c r="C106" s="26">
        <v>45314</v>
      </c>
      <c r="D106" s="23" t="s">
        <v>392</v>
      </c>
      <c r="E106" s="11" t="s">
        <v>14</v>
      </c>
      <c r="F106" s="23" t="s">
        <v>393</v>
      </c>
      <c r="G106" s="23" t="s">
        <v>394</v>
      </c>
      <c r="H106" s="11">
        <v>1500</v>
      </c>
      <c r="I106" s="24">
        <v>6.5</v>
      </c>
      <c r="J106" s="24">
        <v>9750</v>
      </c>
      <c r="K106" s="11" t="s">
        <v>25</v>
      </c>
      <c r="L106" s="19"/>
      <c r="M106" s="11" t="s">
        <v>18</v>
      </c>
    </row>
    <row r="107" spans="2:13" s="15" customFormat="1" ht="15" customHeight="1" x14ac:dyDescent="0.25">
      <c r="B107" s="11" t="s">
        <v>395</v>
      </c>
      <c r="C107" s="26">
        <v>45314</v>
      </c>
      <c r="D107" s="23" t="s">
        <v>241</v>
      </c>
      <c r="E107" s="11" t="s">
        <v>14</v>
      </c>
      <c r="F107" s="23" t="s">
        <v>396</v>
      </c>
      <c r="G107" s="23" t="s">
        <v>397</v>
      </c>
      <c r="H107" s="11">
        <v>500</v>
      </c>
      <c r="I107" s="24">
        <f>J107/H107</f>
        <v>0.81</v>
      </c>
      <c r="J107" s="24">
        <v>405</v>
      </c>
      <c r="K107" s="11" t="s">
        <v>17</v>
      </c>
      <c r="L107" s="19" t="s">
        <v>224</v>
      </c>
      <c r="M107" s="11" t="s">
        <v>31</v>
      </c>
    </row>
    <row r="108" spans="2:13" s="15" customFormat="1" ht="15" customHeight="1" x14ac:dyDescent="0.25">
      <c r="B108" s="11" t="s">
        <v>398</v>
      </c>
      <c r="C108" s="26">
        <v>45315</v>
      </c>
      <c r="D108" s="23" t="s">
        <v>399</v>
      </c>
      <c r="E108" s="11" t="s">
        <v>21</v>
      </c>
      <c r="F108" s="23" t="s">
        <v>400</v>
      </c>
      <c r="G108" s="23" t="s">
        <v>401</v>
      </c>
      <c r="H108" s="11">
        <v>1</v>
      </c>
      <c r="I108" s="24">
        <v>300</v>
      </c>
      <c r="J108" s="24">
        <v>300</v>
      </c>
      <c r="K108" s="11" t="s">
        <v>72</v>
      </c>
      <c r="L108" s="19" t="s">
        <v>265</v>
      </c>
      <c r="M108" s="11" t="s">
        <v>31</v>
      </c>
    </row>
    <row r="109" spans="2:13" s="15" customFormat="1" ht="27.75" customHeight="1" x14ac:dyDescent="0.25">
      <c r="B109" s="25" t="s">
        <v>402</v>
      </c>
      <c r="C109" s="26">
        <v>45314</v>
      </c>
      <c r="D109" s="43" t="s">
        <v>403</v>
      </c>
      <c r="E109" s="25" t="s">
        <v>21</v>
      </c>
      <c r="F109" s="44" t="s">
        <v>404</v>
      </c>
      <c r="G109" s="44" t="s">
        <v>405</v>
      </c>
      <c r="H109" s="25">
        <v>1748</v>
      </c>
      <c r="I109" s="29">
        <v>128.76</v>
      </c>
      <c r="J109" s="29">
        <v>5305</v>
      </c>
      <c r="K109" s="25" t="s">
        <v>72</v>
      </c>
      <c r="L109" s="25"/>
      <c r="M109" s="25" t="s">
        <v>18</v>
      </c>
    </row>
    <row r="110" spans="2:13" s="15" customFormat="1" ht="15" customHeight="1" x14ac:dyDescent="0.25">
      <c r="B110" s="11" t="s">
        <v>406</v>
      </c>
      <c r="C110" s="26">
        <v>45314</v>
      </c>
      <c r="D110" s="23" t="s">
        <v>407</v>
      </c>
      <c r="E110" s="11" t="s">
        <v>14</v>
      </c>
      <c r="F110" s="23" t="s">
        <v>408</v>
      </c>
      <c r="G110" s="23" t="s">
        <v>409</v>
      </c>
      <c r="H110" s="11">
        <v>150</v>
      </c>
      <c r="I110" s="24">
        <v>62</v>
      </c>
      <c r="J110" s="24">
        <v>9300</v>
      </c>
      <c r="K110" s="11" t="s">
        <v>25</v>
      </c>
      <c r="L110" s="19"/>
      <c r="M110" s="11" t="s">
        <v>18</v>
      </c>
    </row>
    <row r="111" spans="2:13" s="15" customFormat="1" ht="15" customHeight="1" x14ac:dyDescent="0.25">
      <c r="B111" s="11" t="s">
        <v>410</v>
      </c>
      <c r="C111" s="26">
        <v>45315</v>
      </c>
      <c r="D111" s="23" t="s">
        <v>33</v>
      </c>
      <c r="E111" s="11" t="s">
        <v>14</v>
      </c>
      <c r="F111" s="23" t="s">
        <v>66</v>
      </c>
      <c r="G111" s="23" t="s">
        <v>411</v>
      </c>
      <c r="H111" s="11">
        <v>30</v>
      </c>
      <c r="I111" s="24">
        <v>80</v>
      </c>
      <c r="J111" s="24">
        <v>1140</v>
      </c>
      <c r="K111" s="11" t="s">
        <v>25</v>
      </c>
      <c r="L111" s="19" t="s">
        <v>238</v>
      </c>
      <c r="M111" s="11" t="s">
        <v>31</v>
      </c>
    </row>
    <row r="112" spans="2:13" s="15" customFormat="1" ht="15" customHeight="1" x14ac:dyDescent="0.25">
      <c r="B112" s="11" t="s">
        <v>412</v>
      </c>
      <c r="C112" s="26">
        <v>45314</v>
      </c>
      <c r="D112" s="23" t="s">
        <v>193</v>
      </c>
      <c r="E112" s="11" t="s">
        <v>14</v>
      </c>
      <c r="F112" s="23" t="s">
        <v>413</v>
      </c>
      <c r="G112" s="31" t="s">
        <v>414</v>
      </c>
      <c r="H112" s="11">
        <v>1450</v>
      </c>
      <c r="I112" s="24">
        <v>17.8</v>
      </c>
      <c r="J112" s="24">
        <v>6445</v>
      </c>
      <c r="K112" s="11" t="s">
        <v>25</v>
      </c>
      <c r="L112" s="19"/>
      <c r="M112" s="11" t="s">
        <v>18</v>
      </c>
    </row>
    <row r="113" spans="2:13" s="15" customFormat="1" ht="15" customHeight="1" x14ac:dyDescent="0.25">
      <c r="B113" s="11" t="s">
        <v>415</v>
      </c>
      <c r="C113" s="26">
        <v>45351</v>
      </c>
      <c r="D113" s="23" t="s">
        <v>416</v>
      </c>
      <c r="E113" s="11" t="s">
        <v>14</v>
      </c>
      <c r="F113" s="23" t="s">
        <v>417</v>
      </c>
      <c r="G113" s="31" t="s">
        <v>418</v>
      </c>
      <c r="H113" s="11">
        <v>600</v>
      </c>
      <c r="I113" s="24">
        <v>63.1</v>
      </c>
      <c r="J113" s="24">
        <v>18930</v>
      </c>
      <c r="K113" s="11" t="s">
        <v>17</v>
      </c>
      <c r="L113" s="19" t="s">
        <v>419</v>
      </c>
      <c r="M113" s="11" t="s">
        <v>31</v>
      </c>
    </row>
    <row r="114" spans="2:13" s="15" customFormat="1" ht="15" customHeight="1" x14ac:dyDescent="0.25">
      <c r="B114" s="11" t="s">
        <v>420</v>
      </c>
      <c r="C114" s="26">
        <v>45315</v>
      </c>
      <c r="D114" s="23" t="s">
        <v>421</v>
      </c>
      <c r="E114" s="11" t="s">
        <v>14</v>
      </c>
      <c r="F114" t="s">
        <v>422</v>
      </c>
      <c r="G114" s="23" t="s">
        <v>423</v>
      </c>
      <c r="H114" s="11">
        <v>1</v>
      </c>
      <c r="I114" s="24">
        <v>1250</v>
      </c>
      <c r="J114" s="24">
        <v>1250</v>
      </c>
      <c r="K114" s="11" t="s">
        <v>17</v>
      </c>
      <c r="L114" s="19" t="s">
        <v>424</v>
      </c>
      <c r="M114" s="11" t="s">
        <v>31</v>
      </c>
    </row>
    <row r="115" spans="2:13" s="15" customFormat="1" ht="15" customHeight="1" x14ac:dyDescent="0.25">
      <c r="B115" s="11" t="s">
        <v>425</v>
      </c>
      <c r="C115" s="26">
        <v>45316</v>
      </c>
      <c r="D115" t="s">
        <v>426</v>
      </c>
      <c r="E115" s="11" t="s">
        <v>14</v>
      </c>
      <c r="F115" s="23" t="s">
        <v>427</v>
      </c>
      <c r="G115" t="s">
        <v>152</v>
      </c>
      <c r="H115" s="11">
        <v>450</v>
      </c>
      <c r="I115" s="24">
        <v>22.85</v>
      </c>
      <c r="J115" s="24">
        <v>1780</v>
      </c>
      <c r="K115" s="11" t="s">
        <v>17</v>
      </c>
      <c r="L115" s="19" t="s">
        <v>214</v>
      </c>
      <c r="M115" s="11" t="s">
        <v>31</v>
      </c>
    </row>
    <row r="116" spans="2:13" s="15" customFormat="1" ht="15" customHeight="1" x14ac:dyDescent="0.25">
      <c r="B116" s="11" t="s">
        <v>428</v>
      </c>
      <c r="C116" s="26">
        <v>45315</v>
      </c>
      <c r="D116" s="23" t="s">
        <v>429</v>
      </c>
      <c r="E116" s="11" t="s">
        <v>14</v>
      </c>
      <c r="F116" s="23" t="s">
        <v>430</v>
      </c>
      <c r="G116" s="31" t="s">
        <v>431</v>
      </c>
      <c r="H116" s="11">
        <v>150</v>
      </c>
      <c r="I116" s="24">
        <v>7.5</v>
      </c>
      <c r="J116" s="24">
        <v>1125</v>
      </c>
      <c r="K116" s="11" t="s">
        <v>25</v>
      </c>
      <c r="L116" s="19" t="s">
        <v>231</v>
      </c>
      <c r="M116" s="11" t="s">
        <v>31</v>
      </c>
    </row>
    <row r="117" spans="2:13" s="15" customFormat="1" ht="15" customHeight="1" x14ac:dyDescent="0.25">
      <c r="B117" s="11" t="s">
        <v>432</v>
      </c>
      <c r="C117" s="26">
        <v>45316</v>
      </c>
      <c r="D117" s="23" t="s">
        <v>433</v>
      </c>
      <c r="E117" s="11" t="s">
        <v>21</v>
      </c>
      <c r="F117" s="23" t="s">
        <v>413</v>
      </c>
      <c r="G117" s="23" t="s">
        <v>434</v>
      </c>
      <c r="H117" s="11">
        <v>10000</v>
      </c>
      <c r="I117" s="24">
        <v>210.99</v>
      </c>
      <c r="J117" s="24">
        <v>1200</v>
      </c>
      <c r="K117" s="11" t="s">
        <v>17</v>
      </c>
      <c r="L117" s="19"/>
      <c r="M117" s="11" t="s">
        <v>18</v>
      </c>
    </row>
    <row r="118" spans="2:13" s="15" customFormat="1" ht="15" customHeight="1" x14ac:dyDescent="0.25">
      <c r="B118" s="11" t="s">
        <v>435</v>
      </c>
      <c r="C118" s="26">
        <v>45499</v>
      </c>
      <c r="D118" s="23" t="s">
        <v>436</v>
      </c>
      <c r="E118" s="11" t="s">
        <v>21</v>
      </c>
      <c r="F118" s="23" t="s">
        <v>437</v>
      </c>
      <c r="G118" s="23" t="s">
        <v>438</v>
      </c>
      <c r="H118" s="11">
        <v>4</v>
      </c>
      <c r="I118" s="24"/>
      <c r="J118" s="24">
        <v>4600</v>
      </c>
      <c r="K118" s="11" t="s">
        <v>17</v>
      </c>
      <c r="L118" s="19"/>
      <c r="M118" s="11" t="s">
        <v>18</v>
      </c>
    </row>
    <row r="119" spans="2:13" s="15" customFormat="1" ht="15" customHeight="1" x14ac:dyDescent="0.25">
      <c r="B119" s="11" t="s">
        <v>439</v>
      </c>
      <c r="C119" s="26">
        <v>45321</v>
      </c>
      <c r="D119" s="23" t="s">
        <v>370</v>
      </c>
      <c r="E119" s="11" t="s">
        <v>14</v>
      </c>
      <c r="F119" s="23" t="s">
        <v>222</v>
      </c>
      <c r="G119" s="23" t="s">
        <v>440</v>
      </c>
      <c r="H119" s="11">
        <v>1500</v>
      </c>
      <c r="I119" s="24">
        <v>6.4</v>
      </c>
      <c r="J119" s="24">
        <v>4675</v>
      </c>
      <c r="K119" s="11" t="s">
        <v>72</v>
      </c>
      <c r="L119" s="19" t="s">
        <v>441</v>
      </c>
      <c r="M119" s="11" t="s">
        <v>31</v>
      </c>
    </row>
    <row r="120" spans="2:13" s="15" customFormat="1" ht="15" customHeight="1" x14ac:dyDescent="0.25">
      <c r="B120" s="11" t="s">
        <v>442</v>
      </c>
      <c r="C120" s="26">
        <v>45316</v>
      </c>
      <c r="D120" s="23" t="s">
        <v>443</v>
      </c>
      <c r="E120" s="11" t="s">
        <v>21</v>
      </c>
      <c r="F120" s="23" t="s">
        <v>444</v>
      </c>
      <c r="G120" s="23" t="s">
        <v>445</v>
      </c>
      <c r="H120" s="11">
        <v>350</v>
      </c>
      <c r="I120" s="24">
        <v>25.55</v>
      </c>
      <c r="J120" s="24">
        <v>1955</v>
      </c>
      <c r="K120" s="11" t="s">
        <v>72</v>
      </c>
      <c r="L120" s="19"/>
      <c r="M120" s="11" t="s">
        <v>18</v>
      </c>
    </row>
    <row r="121" spans="2:13" s="15" customFormat="1" ht="15" customHeight="1" x14ac:dyDescent="0.25">
      <c r="B121" s="11" t="s">
        <v>446</v>
      </c>
      <c r="C121" s="26">
        <v>45323</v>
      </c>
      <c r="D121" s="23" t="s">
        <v>447</v>
      </c>
      <c r="E121" s="11" t="s">
        <v>14</v>
      </c>
      <c r="F121" s="23" t="s">
        <v>448</v>
      </c>
      <c r="G121" s="31" t="s">
        <v>449</v>
      </c>
      <c r="H121" s="11">
        <v>6</v>
      </c>
      <c r="I121" s="24">
        <v>195</v>
      </c>
      <c r="J121" s="24">
        <v>1170</v>
      </c>
      <c r="K121" s="11" t="s">
        <v>25</v>
      </c>
      <c r="L121" s="19"/>
      <c r="M121" s="11" t="s">
        <v>18</v>
      </c>
    </row>
    <row r="122" spans="2:13" s="15" customFormat="1" ht="15" customHeight="1" x14ac:dyDescent="0.25">
      <c r="B122" s="11" t="s">
        <v>450</v>
      </c>
      <c r="C122" s="26">
        <v>45321</v>
      </c>
      <c r="D122" s="23" t="s">
        <v>451</v>
      </c>
      <c r="E122" s="11" t="s">
        <v>14</v>
      </c>
      <c r="F122" s="23" t="s">
        <v>452</v>
      </c>
      <c r="G122" s="23" t="s">
        <v>453</v>
      </c>
      <c r="H122" s="11">
        <v>500</v>
      </c>
      <c r="I122" s="24">
        <v>28.75</v>
      </c>
      <c r="J122" s="24">
        <v>14375</v>
      </c>
      <c r="K122" s="11" t="s">
        <v>17</v>
      </c>
      <c r="L122" s="19" t="s">
        <v>454</v>
      </c>
      <c r="M122" s="11" t="s">
        <v>31</v>
      </c>
    </row>
    <row r="123" spans="2:13" s="15" customFormat="1" ht="15" customHeight="1" x14ac:dyDescent="0.25">
      <c r="B123" s="11" t="s">
        <v>455</v>
      </c>
      <c r="C123" s="26">
        <v>45316</v>
      </c>
      <c r="D123" s="23" t="s">
        <v>451</v>
      </c>
      <c r="E123" s="11" t="s">
        <v>14</v>
      </c>
      <c r="F123" s="23" t="s">
        <v>456</v>
      </c>
      <c r="G123" s="23" t="s">
        <v>409</v>
      </c>
      <c r="H123" s="11">
        <v>100</v>
      </c>
      <c r="I123" s="24">
        <v>32.5</v>
      </c>
      <c r="J123" s="24">
        <v>3250</v>
      </c>
      <c r="K123" s="11" t="s">
        <v>17</v>
      </c>
      <c r="L123" s="19"/>
      <c r="M123" s="11" t="s">
        <v>18</v>
      </c>
    </row>
    <row r="124" spans="2:13" s="15" customFormat="1" ht="15" customHeight="1" x14ac:dyDescent="0.25">
      <c r="B124" s="11" t="s">
        <v>457</v>
      </c>
      <c r="C124" s="26">
        <v>45337</v>
      </c>
      <c r="D124" s="23" t="s">
        <v>458</v>
      </c>
      <c r="E124" s="11" t="s">
        <v>21</v>
      </c>
      <c r="F124" s="23" t="s">
        <v>459</v>
      </c>
      <c r="G124" s="23" t="s">
        <v>460</v>
      </c>
      <c r="H124" s="11">
        <v>1</v>
      </c>
      <c r="I124" s="24">
        <v>8850</v>
      </c>
      <c r="J124" s="24">
        <v>8850</v>
      </c>
      <c r="K124" s="11" t="s">
        <v>461</v>
      </c>
      <c r="L124" s="19" t="s">
        <v>373</v>
      </c>
      <c r="M124" s="11" t="s">
        <v>31</v>
      </c>
    </row>
    <row r="125" spans="2:13" s="15" customFormat="1" ht="15" customHeight="1" x14ac:dyDescent="0.25">
      <c r="B125" s="11" t="s">
        <v>462</v>
      </c>
      <c r="C125" s="26">
        <v>45322</v>
      </c>
      <c r="D125" s="23" t="s">
        <v>463</v>
      </c>
      <c r="E125" s="11" t="s">
        <v>14</v>
      </c>
      <c r="F125" s="23" t="s">
        <v>464</v>
      </c>
      <c r="G125" s="31" t="s">
        <v>465</v>
      </c>
      <c r="H125" s="11">
        <v>11</v>
      </c>
      <c r="I125" s="24">
        <v>1720</v>
      </c>
      <c r="J125" s="24">
        <v>6040</v>
      </c>
      <c r="K125" s="11" t="s">
        <v>17</v>
      </c>
      <c r="L125" s="19"/>
      <c r="M125" s="11" t="s">
        <v>18</v>
      </c>
    </row>
    <row r="126" spans="2:13" s="15" customFormat="1" ht="15" customHeight="1" x14ac:dyDescent="0.25">
      <c r="B126" s="11" t="s">
        <v>466</v>
      </c>
      <c r="C126" s="26">
        <v>45322</v>
      </c>
      <c r="D126" s="23" t="s">
        <v>467</v>
      </c>
      <c r="E126" s="11" t="s">
        <v>14</v>
      </c>
      <c r="F126" s="23" t="s">
        <v>468</v>
      </c>
      <c r="G126" s="23" t="s">
        <v>469</v>
      </c>
      <c r="H126" s="11">
        <v>4</v>
      </c>
      <c r="I126" s="24">
        <v>625</v>
      </c>
      <c r="J126" s="24">
        <v>2500</v>
      </c>
      <c r="K126" s="11" t="s">
        <v>25</v>
      </c>
      <c r="L126" s="19"/>
      <c r="M126" s="11" t="s">
        <v>18</v>
      </c>
    </row>
    <row r="127" spans="2:13" s="15" customFormat="1" ht="15" customHeight="1" x14ac:dyDescent="0.25">
      <c r="B127" s="11" t="s">
        <v>470</v>
      </c>
      <c r="C127" s="26">
        <v>45317</v>
      </c>
      <c r="D127" s="23" t="s">
        <v>381</v>
      </c>
      <c r="E127" s="11" t="s">
        <v>14</v>
      </c>
      <c r="F127" s="23" t="s">
        <v>116</v>
      </c>
      <c r="G127" s="23" t="s">
        <v>471</v>
      </c>
      <c r="H127" s="11">
        <v>19</v>
      </c>
      <c r="I127" s="24">
        <v>240</v>
      </c>
      <c r="J127" s="24">
        <v>2215</v>
      </c>
      <c r="K127" s="11" t="s">
        <v>25</v>
      </c>
      <c r="L127" s="19"/>
      <c r="M127" s="11" t="s">
        <v>18</v>
      </c>
    </row>
    <row r="128" spans="2:13" s="15" customFormat="1" ht="15" customHeight="1" x14ac:dyDescent="0.25">
      <c r="B128" s="11" t="s">
        <v>472</v>
      </c>
      <c r="C128" s="26">
        <v>45324</v>
      </c>
      <c r="D128" s="23" t="s">
        <v>473</v>
      </c>
      <c r="E128" s="11" t="s">
        <v>14</v>
      </c>
      <c r="F128" s="23" t="s">
        <v>474</v>
      </c>
      <c r="G128" s="23" t="s">
        <v>475</v>
      </c>
      <c r="H128" s="11">
        <v>30</v>
      </c>
      <c r="I128" s="24">
        <v>29.75</v>
      </c>
      <c r="J128" s="24">
        <v>892.5</v>
      </c>
      <c r="K128" s="11" t="s">
        <v>25</v>
      </c>
      <c r="L128" s="19" t="s">
        <v>387</v>
      </c>
      <c r="M128" s="11" t="s">
        <v>31</v>
      </c>
    </row>
    <row r="129" spans="2:13" s="15" customFormat="1" ht="15" customHeight="1" x14ac:dyDescent="0.25">
      <c r="B129" s="11" t="s">
        <v>476</v>
      </c>
      <c r="C129" s="26">
        <v>45317</v>
      </c>
      <c r="D129" s="23" t="s">
        <v>477</v>
      </c>
      <c r="E129" s="11" t="s">
        <v>21</v>
      </c>
      <c r="F129" s="23" t="s">
        <v>478</v>
      </c>
      <c r="G129" s="23" t="s">
        <v>479</v>
      </c>
      <c r="H129" s="11">
        <v>95</v>
      </c>
      <c r="I129" s="24">
        <v>71</v>
      </c>
      <c r="J129" s="24">
        <v>1772.5</v>
      </c>
      <c r="K129" s="11" t="s">
        <v>72</v>
      </c>
      <c r="L129" s="19"/>
      <c r="M129" s="11" t="s">
        <v>18</v>
      </c>
    </row>
    <row r="130" spans="2:13" s="15" customFormat="1" ht="15" customHeight="1" x14ac:dyDescent="0.25">
      <c r="B130" s="11" t="s">
        <v>480</v>
      </c>
      <c r="C130" s="26">
        <v>45317</v>
      </c>
      <c r="D130" s="23" t="s">
        <v>481</v>
      </c>
      <c r="E130" s="11" t="s">
        <v>14</v>
      </c>
      <c r="F130" s="23" t="s">
        <v>482</v>
      </c>
      <c r="G130" s="23" t="s">
        <v>483</v>
      </c>
      <c r="H130" s="11">
        <v>23</v>
      </c>
      <c r="I130" s="24">
        <v>20.65</v>
      </c>
      <c r="J130" s="24">
        <v>475</v>
      </c>
      <c r="K130" s="11" t="s">
        <v>17</v>
      </c>
      <c r="L130" s="19" t="s">
        <v>251</v>
      </c>
      <c r="M130" s="11" t="s">
        <v>31</v>
      </c>
    </row>
    <row r="131" spans="2:13" s="46" customFormat="1" ht="15" customHeight="1" x14ac:dyDescent="0.25">
      <c r="B131" s="11" t="s">
        <v>484</v>
      </c>
      <c r="C131" s="26">
        <v>45318</v>
      </c>
      <c r="D131" s="23" t="s">
        <v>485</v>
      </c>
      <c r="E131" s="11" t="s">
        <v>14</v>
      </c>
      <c r="F131" s="23" t="s">
        <v>486</v>
      </c>
      <c r="G131" s="23" t="s">
        <v>487</v>
      </c>
      <c r="H131" s="11">
        <v>1</v>
      </c>
      <c r="I131" s="24">
        <v>7250</v>
      </c>
      <c r="J131" s="24">
        <v>7250</v>
      </c>
      <c r="K131" s="45" t="s">
        <v>17</v>
      </c>
      <c r="L131" s="19"/>
      <c r="M131" s="45" t="s">
        <v>18</v>
      </c>
    </row>
    <row r="132" spans="2:13" s="46" customFormat="1" ht="15" customHeight="1" x14ac:dyDescent="0.25">
      <c r="B132" s="11" t="s">
        <v>488</v>
      </c>
      <c r="C132" s="26">
        <v>45318</v>
      </c>
      <c r="D132" s="23" t="s">
        <v>485</v>
      </c>
      <c r="E132" s="11" t="s">
        <v>14</v>
      </c>
      <c r="F132" s="23" t="s">
        <v>489</v>
      </c>
      <c r="G132" s="23" t="s">
        <v>490</v>
      </c>
      <c r="H132" s="11">
        <v>5</v>
      </c>
      <c r="I132" s="24">
        <v>84</v>
      </c>
      <c r="J132" s="24">
        <v>420</v>
      </c>
      <c r="K132" s="45" t="s">
        <v>17</v>
      </c>
      <c r="L132" s="19"/>
      <c r="M132" s="45" t="s">
        <v>18</v>
      </c>
    </row>
    <row r="133" spans="2:13" s="15" customFormat="1" ht="15" customHeight="1" x14ac:dyDescent="0.25">
      <c r="B133" s="11" t="s">
        <v>491</v>
      </c>
      <c r="C133" s="26">
        <v>45318</v>
      </c>
      <c r="D133" s="23" t="s">
        <v>346</v>
      </c>
      <c r="E133" s="11" t="s">
        <v>14</v>
      </c>
      <c r="F133" s="23" t="s">
        <v>492</v>
      </c>
      <c r="G133" s="23" t="s">
        <v>493</v>
      </c>
      <c r="H133" s="11">
        <v>150</v>
      </c>
      <c r="I133" s="24">
        <v>29.6</v>
      </c>
      <c r="J133" s="24">
        <v>2472.5</v>
      </c>
      <c r="K133" s="11" t="s">
        <v>17</v>
      </c>
      <c r="L133" s="19"/>
      <c r="M133" s="11" t="s">
        <v>18</v>
      </c>
    </row>
    <row r="134" spans="2:13" s="15" customFormat="1" ht="15" customHeight="1" x14ac:dyDescent="0.25">
      <c r="B134" s="11" t="s">
        <v>494</v>
      </c>
      <c r="C134" s="26">
        <v>45320</v>
      </c>
      <c r="D134" s="23" t="s">
        <v>495</v>
      </c>
      <c r="E134" s="11" t="s">
        <v>21</v>
      </c>
      <c r="F134" s="23" t="s">
        <v>496</v>
      </c>
      <c r="G134" s="31" t="s">
        <v>497</v>
      </c>
      <c r="H134" s="11">
        <v>1</v>
      </c>
      <c r="I134" s="24">
        <v>950</v>
      </c>
      <c r="J134" s="24">
        <v>950</v>
      </c>
      <c r="K134" s="11" t="s">
        <v>17</v>
      </c>
      <c r="L134" s="19"/>
      <c r="M134" s="11" t="s">
        <v>18</v>
      </c>
    </row>
    <row r="135" spans="2:13" s="15" customFormat="1" ht="15" customHeight="1" x14ac:dyDescent="0.25">
      <c r="B135" s="11" t="s">
        <v>498</v>
      </c>
      <c r="C135" s="26">
        <v>45320</v>
      </c>
      <c r="D135" s="23" t="s">
        <v>499</v>
      </c>
      <c r="E135" s="11" t="s">
        <v>14</v>
      </c>
      <c r="F135" s="23" t="s">
        <v>500</v>
      </c>
      <c r="G135" s="23" t="s">
        <v>501</v>
      </c>
      <c r="H135" s="11">
        <v>200</v>
      </c>
      <c r="I135" s="24">
        <v>8.75</v>
      </c>
      <c r="J135" s="24">
        <v>1750</v>
      </c>
      <c r="K135" s="11" t="s">
        <v>25</v>
      </c>
      <c r="L135" s="19"/>
      <c r="M135" s="11" t="s">
        <v>18</v>
      </c>
    </row>
    <row r="136" spans="2:13" s="46" customFormat="1" ht="15" customHeight="1" x14ac:dyDescent="0.25">
      <c r="B136" s="11" t="s">
        <v>502</v>
      </c>
      <c r="C136" s="26">
        <v>45320</v>
      </c>
      <c r="D136" s="47" t="s">
        <v>503</v>
      </c>
      <c r="E136" s="11" t="s">
        <v>14</v>
      </c>
      <c r="F136" s="23" t="s">
        <v>504</v>
      </c>
      <c r="G136" s="23" t="s">
        <v>505</v>
      </c>
      <c r="H136" s="11">
        <v>1</v>
      </c>
      <c r="I136" s="24">
        <v>250</v>
      </c>
      <c r="J136" s="24">
        <v>250</v>
      </c>
      <c r="K136" s="45" t="s">
        <v>25</v>
      </c>
      <c r="L136" s="19"/>
      <c r="M136" s="45" t="s">
        <v>18</v>
      </c>
    </row>
    <row r="137" spans="2:13" s="15" customFormat="1" ht="15" customHeight="1" x14ac:dyDescent="0.25">
      <c r="B137" s="11" t="s">
        <v>506</v>
      </c>
      <c r="C137" s="26">
        <v>45321</v>
      </c>
      <c r="D137" s="23" t="s">
        <v>507</v>
      </c>
      <c r="E137" s="11" t="s">
        <v>14</v>
      </c>
      <c r="F137" s="23" t="s">
        <v>508</v>
      </c>
      <c r="G137" s="31" t="s">
        <v>509</v>
      </c>
      <c r="H137" s="11">
        <v>3</v>
      </c>
      <c r="I137" s="24">
        <v>390</v>
      </c>
      <c r="J137" s="24">
        <v>500</v>
      </c>
      <c r="K137" s="11" t="s">
        <v>17</v>
      </c>
      <c r="L137" s="19"/>
      <c r="M137" s="11" t="s">
        <v>18</v>
      </c>
    </row>
    <row r="138" spans="2:13" s="15" customFormat="1" ht="15" customHeight="1" x14ac:dyDescent="0.25">
      <c r="B138" s="11" t="s">
        <v>510</v>
      </c>
      <c r="C138" s="26">
        <v>45320</v>
      </c>
      <c r="D138" s="23" t="s">
        <v>27</v>
      </c>
      <c r="E138" s="11" t="s">
        <v>14</v>
      </c>
      <c r="F138" s="23" t="s">
        <v>511</v>
      </c>
      <c r="G138" s="23" t="s">
        <v>512</v>
      </c>
      <c r="H138" s="11">
        <v>400</v>
      </c>
      <c r="I138" s="24">
        <v>1.1000000000000001</v>
      </c>
      <c r="J138" s="24">
        <v>440</v>
      </c>
      <c r="K138" s="11" t="s">
        <v>17</v>
      </c>
      <c r="L138" s="19" t="s">
        <v>125</v>
      </c>
      <c r="M138" s="11" t="s">
        <v>31</v>
      </c>
    </row>
    <row r="139" spans="2:13" s="15" customFormat="1" ht="15" customHeight="1" x14ac:dyDescent="0.25">
      <c r="B139" s="11" t="s">
        <v>513</v>
      </c>
      <c r="C139" s="26">
        <v>45321</v>
      </c>
      <c r="D139" s="23" t="s">
        <v>514</v>
      </c>
      <c r="E139" s="11" t="s">
        <v>14</v>
      </c>
      <c r="F139" s="23" t="s">
        <v>515</v>
      </c>
      <c r="G139" s="23" t="s">
        <v>516</v>
      </c>
      <c r="H139" s="11">
        <v>1</v>
      </c>
      <c r="I139" s="24">
        <v>2200</v>
      </c>
      <c r="J139" s="24">
        <v>2200</v>
      </c>
      <c r="K139" s="11" t="s">
        <v>17</v>
      </c>
      <c r="L139" s="19"/>
      <c r="M139" s="11" t="s">
        <v>18</v>
      </c>
    </row>
    <row r="140" spans="2:13" s="15" customFormat="1" ht="15" customHeight="1" x14ac:dyDescent="0.25">
      <c r="B140" s="11" t="s">
        <v>517</v>
      </c>
      <c r="C140" s="26">
        <v>45321</v>
      </c>
      <c r="D140" s="23" t="s">
        <v>352</v>
      </c>
      <c r="E140" s="11" t="s">
        <v>14</v>
      </c>
      <c r="F140" s="23" t="s">
        <v>518</v>
      </c>
      <c r="G140" s="23" t="s">
        <v>519</v>
      </c>
      <c r="H140" s="11">
        <v>2</v>
      </c>
      <c r="I140" s="24">
        <v>1850</v>
      </c>
      <c r="J140" s="24">
        <v>1850</v>
      </c>
      <c r="K140" s="11" t="s">
        <v>72</v>
      </c>
      <c r="L140" s="19"/>
      <c r="M140" s="11" t="s">
        <v>18</v>
      </c>
    </row>
    <row r="141" spans="2:13" s="15" customFormat="1" ht="15" customHeight="1" x14ac:dyDescent="0.25">
      <c r="B141" s="11" t="s">
        <v>520</v>
      </c>
      <c r="C141" s="26">
        <v>45321</v>
      </c>
      <c r="D141" s="23" t="s">
        <v>521</v>
      </c>
      <c r="E141" s="11" t="s">
        <v>21</v>
      </c>
      <c r="F141" s="23" t="s">
        <v>522</v>
      </c>
      <c r="G141" s="23" t="s">
        <v>523</v>
      </c>
      <c r="H141" s="11">
        <v>508</v>
      </c>
      <c r="I141" s="24">
        <v>3153.8</v>
      </c>
      <c r="J141" s="24">
        <v>5045</v>
      </c>
      <c r="K141" s="11" t="s">
        <v>72</v>
      </c>
      <c r="L141" s="19"/>
      <c r="M141" s="11" t="s">
        <v>18</v>
      </c>
    </row>
    <row r="142" spans="2:13" s="15" customFormat="1" ht="15" customHeight="1" x14ac:dyDescent="0.25">
      <c r="B142" s="11" t="s">
        <v>524</v>
      </c>
      <c r="C142" s="26">
        <v>45321</v>
      </c>
      <c r="D142" s="23" t="s">
        <v>525</v>
      </c>
      <c r="E142" s="11" t="s">
        <v>14</v>
      </c>
      <c r="F142" s="23" t="s">
        <v>526</v>
      </c>
      <c r="G142" s="23" t="s">
        <v>527</v>
      </c>
      <c r="H142" s="11">
        <v>20</v>
      </c>
      <c r="I142" s="24">
        <v>95</v>
      </c>
      <c r="J142" s="24">
        <v>1900</v>
      </c>
      <c r="K142" s="11" t="s">
        <v>17</v>
      </c>
      <c r="L142" s="19"/>
      <c r="M142" s="11" t="s">
        <v>18</v>
      </c>
    </row>
    <row r="143" spans="2:13" s="15" customFormat="1" ht="15" customHeight="1" x14ac:dyDescent="0.25">
      <c r="B143" s="11" t="s">
        <v>528</v>
      </c>
      <c r="C143" s="26">
        <v>45321</v>
      </c>
      <c r="D143" s="23" t="s">
        <v>529</v>
      </c>
      <c r="E143" s="11" t="s">
        <v>21</v>
      </c>
      <c r="F143" s="23" t="s">
        <v>530</v>
      </c>
      <c r="G143" s="23" t="s">
        <v>531</v>
      </c>
      <c r="H143" s="11">
        <v>52</v>
      </c>
      <c r="I143" s="24">
        <v>102.5</v>
      </c>
      <c r="J143" s="24">
        <v>565</v>
      </c>
      <c r="K143" s="11" t="s">
        <v>17</v>
      </c>
      <c r="L143" s="19"/>
      <c r="M143" s="11" t="s">
        <v>18</v>
      </c>
    </row>
    <row r="144" spans="2:13" s="15" customFormat="1" ht="15" customHeight="1" x14ac:dyDescent="0.25">
      <c r="B144" s="11" t="s">
        <v>532</v>
      </c>
      <c r="C144" s="26">
        <v>45325</v>
      </c>
      <c r="D144" s="23" t="s">
        <v>485</v>
      </c>
      <c r="E144" s="11" t="s">
        <v>14</v>
      </c>
      <c r="F144" s="23" t="s">
        <v>533</v>
      </c>
      <c r="G144" s="23" t="s">
        <v>490</v>
      </c>
      <c r="H144" s="11">
        <v>5</v>
      </c>
      <c r="I144" s="24">
        <v>70</v>
      </c>
      <c r="J144" s="24">
        <v>350</v>
      </c>
      <c r="K144" s="11" t="s">
        <v>17</v>
      </c>
      <c r="L144" s="19" t="s">
        <v>338</v>
      </c>
      <c r="M144" s="11" t="s">
        <v>31</v>
      </c>
    </row>
    <row r="145" spans="2:13" s="15" customFormat="1" ht="15" customHeight="1" x14ac:dyDescent="0.25">
      <c r="B145" s="11" t="s">
        <v>534</v>
      </c>
      <c r="C145" s="26">
        <v>45321</v>
      </c>
      <c r="D145" s="23" t="s">
        <v>485</v>
      </c>
      <c r="E145" s="11" t="s">
        <v>14</v>
      </c>
      <c r="F145" s="23" t="s">
        <v>535</v>
      </c>
      <c r="G145" s="23" t="s">
        <v>536</v>
      </c>
      <c r="H145" s="11">
        <v>1</v>
      </c>
      <c r="I145" s="24">
        <v>275</v>
      </c>
      <c r="J145" s="24">
        <v>275</v>
      </c>
      <c r="K145" s="11" t="s">
        <v>17</v>
      </c>
      <c r="L145" s="19" t="s">
        <v>317</v>
      </c>
      <c r="M145" s="11" t="s">
        <v>31</v>
      </c>
    </row>
    <row r="146" spans="2:13" s="15" customFormat="1" ht="15" customHeight="1" x14ac:dyDescent="0.25">
      <c r="B146" s="11" t="s">
        <v>537</v>
      </c>
      <c r="C146" s="26">
        <v>45322</v>
      </c>
      <c r="D146" s="23" t="s">
        <v>292</v>
      </c>
      <c r="E146" s="11" t="s">
        <v>14</v>
      </c>
      <c r="F146" s="23" t="s">
        <v>538</v>
      </c>
      <c r="G146" s="23" t="s">
        <v>539</v>
      </c>
      <c r="H146" s="11">
        <v>1</v>
      </c>
      <c r="I146" s="24">
        <v>150</v>
      </c>
      <c r="J146" s="24">
        <v>150</v>
      </c>
      <c r="K146" s="11" t="s">
        <v>25</v>
      </c>
      <c r="L146" s="19" t="s">
        <v>279</v>
      </c>
      <c r="M146" s="11" t="s">
        <v>31</v>
      </c>
    </row>
    <row r="147" spans="2:13" s="15" customFormat="1" ht="15" customHeight="1" x14ac:dyDescent="0.25">
      <c r="B147" s="11" t="s">
        <v>419</v>
      </c>
      <c r="C147" s="26">
        <v>45321</v>
      </c>
      <c r="D147" s="23" t="s">
        <v>503</v>
      </c>
      <c r="E147" s="11" t="s">
        <v>14</v>
      </c>
      <c r="F147" s="23" t="s">
        <v>22</v>
      </c>
      <c r="G147" s="23" t="s">
        <v>376</v>
      </c>
      <c r="H147" s="11">
        <v>200</v>
      </c>
      <c r="I147" s="24">
        <v>2.25</v>
      </c>
      <c r="J147" s="24">
        <v>450</v>
      </c>
      <c r="K147" s="11" t="s">
        <v>25</v>
      </c>
      <c r="L147" s="19"/>
      <c r="M147" s="11" t="s">
        <v>18</v>
      </c>
    </row>
    <row r="148" spans="2:13" s="15" customFormat="1" ht="15" customHeight="1" x14ac:dyDescent="0.25">
      <c r="B148" s="11" t="s">
        <v>540</v>
      </c>
      <c r="C148" s="26">
        <v>45322</v>
      </c>
      <c r="D148" s="23" t="s">
        <v>541</v>
      </c>
      <c r="E148" s="11" t="s">
        <v>14</v>
      </c>
      <c r="F148" s="23" t="s">
        <v>511</v>
      </c>
      <c r="G148" s="23" t="s">
        <v>264</v>
      </c>
      <c r="H148" s="11">
        <v>800</v>
      </c>
      <c r="I148" s="24">
        <v>1.32</v>
      </c>
      <c r="J148" s="24">
        <v>1060</v>
      </c>
      <c r="K148" s="11" t="s">
        <v>25</v>
      </c>
      <c r="L148" s="19" t="s">
        <v>542</v>
      </c>
      <c r="M148" s="11" t="s">
        <v>31</v>
      </c>
    </row>
    <row r="149" spans="2:13" s="15" customFormat="1" ht="15" customHeight="1" x14ac:dyDescent="0.25">
      <c r="B149" s="11" t="s">
        <v>543</v>
      </c>
      <c r="C149" s="26">
        <v>45323</v>
      </c>
      <c r="D149" s="23" t="s">
        <v>193</v>
      </c>
      <c r="E149" s="11" t="s">
        <v>14</v>
      </c>
      <c r="F149" s="23" t="s">
        <v>544</v>
      </c>
      <c r="G149" s="23" t="s">
        <v>545</v>
      </c>
      <c r="H149" s="11">
        <v>40</v>
      </c>
      <c r="I149" s="24">
        <v>35</v>
      </c>
      <c r="J149" s="24">
        <v>1400</v>
      </c>
      <c r="K149" s="11" t="s">
        <v>25</v>
      </c>
      <c r="L149" s="19" t="s">
        <v>546</v>
      </c>
      <c r="M149" s="11" t="s">
        <v>31</v>
      </c>
    </row>
    <row r="150" spans="2:13" s="15" customFormat="1" ht="15" customHeight="1" x14ac:dyDescent="0.25">
      <c r="B150" s="11" t="s">
        <v>547</v>
      </c>
      <c r="C150" s="26">
        <v>45325</v>
      </c>
      <c r="D150" s="23" t="s">
        <v>463</v>
      </c>
      <c r="E150" s="11" t="s">
        <v>14</v>
      </c>
      <c r="F150" s="23" t="s">
        <v>548</v>
      </c>
      <c r="G150" s="23" t="s">
        <v>549</v>
      </c>
      <c r="H150" s="11">
        <v>20</v>
      </c>
      <c r="I150" s="24">
        <v>450</v>
      </c>
      <c r="J150" s="24">
        <v>9000</v>
      </c>
      <c r="K150" s="11" t="s">
        <v>17</v>
      </c>
      <c r="L150" s="19"/>
      <c r="M150" s="11" t="s">
        <v>18</v>
      </c>
    </row>
    <row r="151" spans="2:13" s="15" customFormat="1" ht="15" customHeight="1" x14ac:dyDescent="0.25">
      <c r="B151" s="11" t="s">
        <v>550</v>
      </c>
      <c r="C151" s="26">
        <v>45322</v>
      </c>
      <c r="D151" s="23" t="s">
        <v>203</v>
      </c>
      <c r="E151" s="11" t="s">
        <v>14</v>
      </c>
      <c r="F151" s="23" t="s">
        <v>551</v>
      </c>
      <c r="G151" s="23" t="s">
        <v>552</v>
      </c>
      <c r="H151" s="11">
        <v>12304</v>
      </c>
      <c r="I151" s="24">
        <v>332.84</v>
      </c>
      <c r="J151" s="24">
        <v>4785</v>
      </c>
      <c r="K151" s="11" t="s">
        <v>17</v>
      </c>
      <c r="L151" s="19" t="s">
        <v>553</v>
      </c>
      <c r="M151" s="11" t="s">
        <v>31</v>
      </c>
    </row>
    <row r="152" spans="2:13" s="15" customFormat="1" ht="15" customHeight="1" x14ac:dyDescent="0.25">
      <c r="B152" s="11" t="s">
        <v>554</v>
      </c>
      <c r="C152" s="26">
        <v>45322</v>
      </c>
      <c r="D152" s="23" t="s">
        <v>463</v>
      </c>
      <c r="E152" s="11" t="s">
        <v>14</v>
      </c>
      <c r="F152" s="23" t="s">
        <v>555</v>
      </c>
      <c r="G152" s="23" t="s">
        <v>556</v>
      </c>
      <c r="H152" s="11">
        <v>1</v>
      </c>
      <c r="I152" s="24">
        <v>685</v>
      </c>
      <c r="J152" s="24">
        <v>685</v>
      </c>
      <c r="K152" s="11" t="s">
        <v>17</v>
      </c>
      <c r="L152" s="19" t="s">
        <v>557</v>
      </c>
      <c r="M152" s="11" t="s">
        <v>31</v>
      </c>
    </row>
    <row r="153" spans="2:13" s="15" customFormat="1" ht="15" customHeight="1" x14ac:dyDescent="0.25">
      <c r="B153" s="11" t="s">
        <v>558</v>
      </c>
      <c r="C153" s="26">
        <v>45323</v>
      </c>
      <c r="D153" s="23" t="s">
        <v>559</v>
      </c>
      <c r="E153" s="11" t="s">
        <v>14</v>
      </c>
      <c r="F153" s="23" t="s">
        <v>560</v>
      </c>
      <c r="G153" s="23" t="s">
        <v>561</v>
      </c>
      <c r="H153" s="11">
        <v>250</v>
      </c>
      <c r="I153" s="24">
        <v>6.3</v>
      </c>
      <c r="J153" s="24">
        <v>1575</v>
      </c>
      <c r="K153" s="11" t="s">
        <v>25</v>
      </c>
      <c r="L153" s="19" t="s">
        <v>562</v>
      </c>
      <c r="M153" s="11" t="s">
        <v>31</v>
      </c>
    </row>
    <row r="154" spans="2:13" s="15" customFormat="1" ht="15" customHeight="1" x14ac:dyDescent="0.25">
      <c r="B154" s="11" t="s">
        <v>558</v>
      </c>
      <c r="C154" s="26">
        <v>45323</v>
      </c>
      <c r="D154" s="23" t="s">
        <v>559</v>
      </c>
      <c r="E154" s="11" t="s">
        <v>14</v>
      </c>
      <c r="F154" s="23" t="s">
        <v>560</v>
      </c>
      <c r="G154" s="23" t="s">
        <v>561</v>
      </c>
      <c r="H154" s="11">
        <v>250</v>
      </c>
      <c r="I154" s="24">
        <v>6.3</v>
      </c>
      <c r="J154" s="24">
        <v>1575</v>
      </c>
      <c r="K154" s="11" t="s">
        <v>25</v>
      </c>
      <c r="L154" s="19" t="s">
        <v>313</v>
      </c>
      <c r="M154" s="11" t="s">
        <v>31</v>
      </c>
    </row>
    <row r="155" spans="2:13" s="15" customFormat="1" ht="15" customHeight="1" x14ac:dyDescent="0.25">
      <c r="B155" s="11" t="s">
        <v>563</v>
      </c>
      <c r="C155" s="26">
        <v>45324</v>
      </c>
      <c r="D155" s="23" t="s">
        <v>564</v>
      </c>
      <c r="E155" s="11" t="s">
        <v>14</v>
      </c>
      <c r="F155" s="23" t="s">
        <v>107</v>
      </c>
      <c r="G155" s="23" t="s">
        <v>565</v>
      </c>
      <c r="H155" s="11">
        <v>25</v>
      </c>
      <c r="I155" s="24">
        <v>199</v>
      </c>
      <c r="J155" s="24">
        <v>989</v>
      </c>
      <c r="K155" s="11" t="s">
        <v>25</v>
      </c>
      <c r="L155" s="19" t="s">
        <v>341</v>
      </c>
      <c r="M155" s="11" t="s">
        <v>31</v>
      </c>
    </row>
    <row r="156" spans="2:13" s="15" customFormat="1" ht="15" customHeight="1" x14ac:dyDescent="0.25">
      <c r="B156" s="11" t="s">
        <v>566</v>
      </c>
      <c r="C156" s="26">
        <v>45323</v>
      </c>
      <c r="D156" s="23" t="s">
        <v>567</v>
      </c>
      <c r="E156" s="11" t="s">
        <v>21</v>
      </c>
      <c r="F156" s="23" t="s">
        <v>197</v>
      </c>
      <c r="G156" s="23" t="s">
        <v>226</v>
      </c>
      <c r="H156" s="11">
        <v>1000</v>
      </c>
      <c r="I156" s="24">
        <v>0.64500000000000002</v>
      </c>
      <c r="J156" s="24">
        <v>645</v>
      </c>
      <c r="K156" s="11" t="s">
        <v>72</v>
      </c>
      <c r="L156" s="19"/>
      <c r="M156" s="11" t="s">
        <v>18</v>
      </c>
    </row>
    <row r="157" spans="2:13" s="15" customFormat="1" ht="15" customHeight="1" x14ac:dyDescent="0.25">
      <c r="B157" s="11" t="s">
        <v>568</v>
      </c>
      <c r="C157" s="26">
        <v>45324</v>
      </c>
      <c r="D157" s="23" t="s">
        <v>569</v>
      </c>
      <c r="E157" s="11" t="s">
        <v>21</v>
      </c>
      <c r="F157" s="23" t="s">
        <v>570</v>
      </c>
      <c r="G157" s="23" t="s">
        <v>440</v>
      </c>
      <c r="H157" s="11">
        <v>200</v>
      </c>
      <c r="I157" s="24">
        <v>4.75</v>
      </c>
      <c r="J157" s="24">
        <v>950</v>
      </c>
      <c r="K157" s="11" t="s">
        <v>25</v>
      </c>
      <c r="L157" s="19"/>
      <c r="M157" s="11" t="s">
        <v>18</v>
      </c>
    </row>
    <row r="158" spans="2:13" s="15" customFormat="1" ht="15" customHeight="1" x14ac:dyDescent="0.25">
      <c r="B158" s="11" t="s">
        <v>571</v>
      </c>
      <c r="C158" s="26">
        <v>45324</v>
      </c>
      <c r="D158" s="23" t="s">
        <v>572</v>
      </c>
      <c r="E158" s="11" t="s">
        <v>21</v>
      </c>
      <c r="F158" s="23" t="s">
        <v>197</v>
      </c>
      <c r="G158" s="23" t="s">
        <v>226</v>
      </c>
      <c r="H158" s="11">
        <v>800</v>
      </c>
      <c r="I158" s="24">
        <v>0.84</v>
      </c>
      <c r="J158" s="24">
        <v>672</v>
      </c>
      <c r="K158" s="11" t="s">
        <v>25</v>
      </c>
      <c r="L158" s="19"/>
      <c r="M158" s="11" t="s">
        <v>18</v>
      </c>
    </row>
    <row r="159" spans="2:13" s="15" customFormat="1" ht="15" customHeight="1" x14ac:dyDescent="0.25">
      <c r="B159" s="11" t="s">
        <v>573</v>
      </c>
      <c r="C159" s="26">
        <v>45324</v>
      </c>
      <c r="D159" s="23" t="s">
        <v>574</v>
      </c>
      <c r="E159" s="11" t="s">
        <v>14</v>
      </c>
      <c r="F159" s="23" t="s">
        <v>575</v>
      </c>
      <c r="G159" s="23" t="s">
        <v>576</v>
      </c>
      <c r="H159" s="11">
        <v>1</v>
      </c>
      <c r="I159" s="24">
        <v>150</v>
      </c>
      <c r="J159" s="24">
        <v>150</v>
      </c>
      <c r="K159" s="11" t="s">
        <v>17</v>
      </c>
      <c r="L159" s="19"/>
      <c r="M159" s="11" t="s">
        <v>18</v>
      </c>
    </row>
    <row r="160" spans="2:13" s="15" customFormat="1" ht="15" customHeight="1" x14ac:dyDescent="0.25">
      <c r="B160" s="11" t="s">
        <v>577</v>
      </c>
      <c r="C160" s="26">
        <v>45324</v>
      </c>
      <c r="D160" s="23" t="s">
        <v>241</v>
      </c>
      <c r="E160" s="11" t="s">
        <v>14</v>
      </c>
      <c r="F160" s="48" t="s">
        <v>578</v>
      </c>
      <c r="G160" s="23" t="s">
        <v>397</v>
      </c>
      <c r="H160" s="11">
        <v>500</v>
      </c>
      <c r="I160" s="24">
        <v>0.81</v>
      </c>
      <c r="J160" s="24">
        <v>405</v>
      </c>
      <c r="K160" s="11" t="s">
        <v>17</v>
      </c>
      <c r="L160" s="19" t="s">
        <v>328</v>
      </c>
      <c r="M160" s="11" t="s">
        <v>31</v>
      </c>
    </row>
    <row r="161" spans="2:13" s="15" customFormat="1" ht="15" customHeight="1" x14ac:dyDescent="0.25">
      <c r="B161" s="11" t="s">
        <v>579</v>
      </c>
      <c r="C161" s="26">
        <v>45324</v>
      </c>
      <c r="D161" s="23" t="s">
        <v>48</v>
      </c>
      <c r="E161" s="11" t="s">
        <v>14</v>
      </c>
      <c r="F161" s="49" t="s">
        <v>580</v>
      </c>
      <c r="G161" s="23" t="s">
        <v>581</v>
      </c>
      <c r="H161" s="11">
        <v>110</v>
      </c>
      <c r="I161" s="24">
        <v>151.5</v>
      </c>
      <c r="J161" s="24">
        <v>4575</v>
      </c>
      <c r="K161" s="11" t="s">
        <v>17</v>
      </c>
      <c r="L161" s="19"/>
      <c r="M161" s="11" t="s">
        <v>18</v>
      </c>
    </row>
    <row r="162" spans="2:13" s="15" customFormat="1" ht="15" customHeight="1" x14ac:dyDescent="0.25">
      <c r="B162" s="11" t="s">
        <v>582</v>
      </c>
      <c r="C162" s="26">
        <v>45324</v>
      </c>
      <c r="D162" s="23" t="s">
        <v>241</v>
      </c>
      <c r="E162" s="11" t="s">
        <v>14</v>
      </c>
      <c r="F162" s="23" t="s">
        <v>583</v>
      </c>
      <c r="G162" s="23" t="s">
        <v>584</v>
      </c>
      <c r="H162" s="11">
        <v>1</v>
      </c>
      <c r="I162" s="24">
        <v>750</v>
      </c>
      <c r="J162" s="24">
        <v>750</v>
      </c>
      <c r="K162" s="11" t="s">
        <v>17</v>
      </c>
      <c r="L162" s="19"/>
      <c r="M162" s="11" t="s">
        <v>18</v>
      </c>
    </row>
    <row r="163" spans="2:13" s="15" customFormat="1" ht="15" customHeight="1" x14ac:dyDescent="0.25">
      <c r="B163" s="11" t="s">
        <v>585</v>
      </c>
      <c r="C163" s="26">
        <v>45324</v>
      </c>
      <c r="D163" s="23" t="s">
        <v>292</v>
      </c>
      <c r="E163" s="11" t="s">
        <v>14</v>
      </c>
      <c r="F163" s="23" t="s">
        <v>586</v>
      </c>
      <c r="G163" s="23" t="s">
        <v>587</v>
      </c>
      <c r="H163" s="11">
        <v>10000</v>
      </c>
      <c r="I163" s="24">
        <v>0.23949999999999999</v>
      </c>
      <c r="J163" s="24">
        <v>2395</v>
      </c>
      <c r="K163" s="11" t="s">
        <v>25</v>
      </c>
      <c r="L163" s="19"/>
      <c r="M163" s="11" t="s">
        <v>18</v>
      </c>
    </row>
    <row r="164" spans="2:13" s="15" customFormat="1" ht="15" customHeight="1" x14ac:dyDescent="0.25">
      <c r="B164" s="11" t="s">
        <v>588</v>
      </c>
      <c r="C164" s="26">
        <v>45325</v>
      </c>
      <c r="D164" s="23" t="s">
        <v>589</v>
      </c>
      <c r="E164" s="11" t="s">
        <v>14</v>
      </c>
      <c r="F164" s="23" t="s">
        <v>590</v>
      </c>
      <c r="G164" s="23" t="s">
        <v>591</v>
      </c>
      <c r="H164" s="11">
        <v>100</v>
      </c>
      <c r="I164" s="24">
        <v>84.9</v>
      </c>
      <c r="J164" s="24">
        <v>8490</v>
      </c>
      <c r="K164" s="11" t="s">
        <v>25</v>
      </c>
      <c r="L164" s="19"/>
      <c r="M164" s="11" t="s">
        <v>18</v>
      </c>
    </row>
    <row r="165" spans="2:13" s="15" customFormat="1" ht="15" customHeight="1" x14ac:dyDescent="0.25">
      <c r="B165" s="11" t="s">
        <v>592</v>
      </c>
      <c r="C165" s="26">
        <v>45325</v>
      </c>
      <c r="D165" s="23" t="s">
        <v>199</v>
      </c>
      <c r="E165" s="11" t="s">
        <v>14</v>
      </c>
      <c r="F165" s="23" t="s">
        <v>593</v>
      </c>
      <c r="G165" s="23" t="s">
        <v>594</v>
      </c>
      <c r="H165" s="11">
        <v>100</v>
      </c>
      <c r="I165" s="24">
        <v>75.25</v>
      </c>
      <c r="J165" s="24">
        <v>7525</v>
      </c>
      <c r="K165" s="11" t="s">
        <v>17</v>
      </c>
      <c r="L165" s="19"/>
      <c r="M165" s="11" t="s">
        <v>18</v>
      </c>
    </row>
    <row r="166" spans="2:13" s="15" customFormat="1" ht="15" customHeight="1" x14ac:dyDescent="0.25">
      <c r="B166" s="11" t="s">
        <v>595</v>
      </c>
      <c r="C166" s="26">
        <v>45325</v>
      </c>
      <c r="D166" s="23" t="s">
        <v>44</v>
      </c>
      <c r="E166" s="11" t="s">
        <v>14</v>
      </c>
      <c r="F166" s="23" t="s">
        <v>596</v>
      </c>
      <c r="G166" s="23" t="s">
        <v>597</v>
      </c>
      <c r="H166" s="11">
        <v>18</v>
      </c>
      <c r="I166" s="24">
        <v>321.25</v>
      </c>
      <c r="J166" s="24">
        <v>1520</v>
      </c>
      <c r="K166" s="11" t="s">
        <v>17</v>
      </c>
      <c r="L166" s="19"/>
      <c r="M166" s="11" t="s">
        <v>18</v>
      </c>
    </row>
    <row r="167" spans="2:13" s="15" customFormat="1" ht="15" customHeight="1" x14ac:dyDescent="0.25">
      <c r="B167" s="11" t="s">
        <v>598</v>
      </c>
      <c r="C167" s="26">
        <v>45328</v>
      </c>
      <c r="D167" s="15" t="s">
        <v>241</v>
      </c>
      <c r="E167" s="11" t="s">
        <v>14</v>
      </c>
      <c r="F167" s="23" t="s">
        <v>259</v>
      </c>
      <c r="G167" s="31" t="s">
        <v>260</v>
      </c>
      <c r="H167" s="11">
        <v>4</v>
      </c>
      <c r="I167" s="24">
        <v>450</v>
      </c>
      <c r="J167" s="24">
        <v>1800</v>
      </c>
      <c r="K167" s="11" t="s">
        <v>17</v>
      </c>
      <c r="L167" s="19" t="s">
        <v>599</v>
      </c>
      <c r="M167" s="11" t="s">
        <v>31</v>
      </c>
    </row>
    <row r="168" spans="2:13" s="15" customFormat="1" ht="15" customHeight="1" x14ac:dyDescent="0.25">
      <c r="B168" s="11" t="s">
        <v>600</v>
      </c>
      <c r="C168" s="26">
        <v>45327</v>
      </c>
      <c r="D168" s="23" t="s">
        <v>601</v>
      </c>
      <c r="E168" s="11" t="s">
        <v>14</v>
      </c>
      <c r="F168" s="23" t="s">
        <v>602</v>
      </c>
      <c r="G168" s="23" t="s">
        <v>603</v>
      </c>
      <c r="H168" s="11">
        <v>20</v>
      </c>
      <c r="I168" s="24">
        <v>117</v>
      </c>
      <c r="J168" s="24">
        <v>1170</v>
      </c>
      <c r="K168" s="11" t="s">
        <v>25</v>
      </c>
      <c r="L168" s="19"/>
      <c r="M168" s="11" t="s">
        <v>18</v>
      </c>
    </row>
    <row r="169" spans="2:13" s="15" customFormat="1" ht="15" customHeight="1" x14ac:dyDescent="0.25">
      <c r="B169" s="11" t="s">
        <v>604</v>
      </c>
      <c r="C169" s="26">
        <v>45327</v>
      </c>
      <c r="D169" s="23" t="s">
        <v>605</v>
      </c>
      <c r="E169" s="11" t="s">
        <v>14</v>
      </c>
      <c r="F169" s="23" t="s">
        <v>596</v>
      </c>
      <c r="G169" s="23" t="s">
        <v>606</v>
      </c>
      <c r="H169" s="11">
        <v>100</v>
      </c>
      <c r="I169" s="24">
        <v>7.4</v>
      </c>
      <c r="J169" s="24">
        <v>740</v>
      </c>
      <c r="K169" s="11" t="s">
        <v>25</v>
      </c>
      <c r="L169" s="19"/>
      <c r="M169" s="11" t="s">
        <v>18</v>
      </c>
    </row>
    <row r="170" spans="2:13" s="15" customFormat="1" ht="15" customHeight="1" x14ac:dyDescent="0.25">
      <c r="B170" s="11" t="s">
        <v>607</v>
      </c>
      <c r="C170" s="26">
        <v>45327</v>
      </c>
      <c r="D170" s="23" t="s">
        <v>463</v>
      </c>
      <c r="E170" s="11" t="s">
        <v>14</v>
      </c>
      <c r="F170" s="23" t="s">
        <v>608</v>
      </c>
      <c r="G170" s="23" t="s">
        <v>609</v>
      </c>
      <c r="H170" s="11">
        <v>70</v>
      </c>
      <c r="I170" s="24">
        <v>61.16</v>
      </c>
      <c r="J170" s="24">
        <v>770</v>
      </c>
      <c r="K170" s="11" t="s">
        <v>17</v>
      </c>
      <c r="L170" s="19"/>
      <c r="M170" s="11" t="s">
        <v>18</v>
      </c>
    </row>
    <row r="171" spans="2:13" s="15" customFormat="1" ht="15" customHeight="1" x14ac:dyDescent="0.25">
      <c r="B171" s="11" t="s">
        <v>610</v>
      </c>
      <c r="C171" s="26">
        <v>45328</v>
      </c>
      <c r="D171" s="23" t="s">
        <v>611</v>
      </c>
      <c r="E171" s="11" t="s">
        <v>21</v>
      </c>
      <c r="F171" s="23" t="s">
        <v>612</v>
      </c>
      <c r="G171" s="23" t="s">
        <v>613</v>
      </c>
      <c r="H171" s="11">
        <v>47</v>
      </c>
      <c r="I171" s="24">
        <v>7795</v>
      </c>
      <c r="J171" s="24">
        <v>48530</v>
      </c>
      <c r="K171" s="11" t="s">
        <v>25</v>
      </c>
      <c r="L171" s="19"/>
      <c r="M171" s="11" t="s">
        <v>18</v>
      </c>
    </row>
    <row r="172" spans="2:13" s="15" customFormat="1" ht="15" customHeight="1" x14ac:dyDescent="0.25">
      <c r="B172" s="11" t="s">
        <v>614</v>
      </c>
      <c r="C172" s="26">
        <v>45328</v>
      </c>
      <c r="D172" s="23" t="s">
        <v>615</v>
      </c>
      <c r="E172" s="11" t="s">
        <v>21</v>
      </c>
      <c r="F172" s="23" t="s">
        <v>616</v>
      </c>
      <c r="G172" s="23" t="s">
        <v>617</v>
      </c>
      <c r="H172" s="11">
        <v>1600</v>
      </c>
      <c r="I172" s="24">
        <v>12.2</v>
      </c>
      <c r="J172" s="24">
        <v>6650</v>
      </c>
      <c r="K172" s="11" t="s">
        <v>72</v>
      </c>
      <c r="L172" s="19"/>
      <c r="M172" s="11" t="s">
        <v>18</v>
      </c>
    </row>
    <row r="173" spans="2:13" s="15" customFormat="1" ht="15" customHeight="1" x14ac:dyDescent="0.25">
      <c r="B173" s="11" t="s">
        <v>618</v>
      </c>
      <c r="C173" s="26">
        <v>45329</v>
      </c>
      <c r="D173" s="23" t="s">
        <v>203</v>
      </c>
      <c r="E173" s="11" t="s">
        <v>14</v>
      </c>
      <c r="F173" s="23" t="s">
        <v>619</v>
      </c>
      <c r="G173" s="23" t="s">
        <v>620</v>
      </c>
      <c r="H173" s="11">
        <v>3</v>
      </c>
      <c r="I173" s="24">
        <v>195</v>
      </c>
      <c r="J173" s="24">
        <v>585</v>
      </c>
      <c r="K173" s="11" t="s">
        <v>17</v>
      </c>
      <c r="L173" s="19"/>
      <c r="M173" s="11" t="s">
        <v>31</v>
      </c>
    </row>
    <row r="174" spans="2:13" s="15" customFormat="1" ht="15" customHeight="1" x14ac:dyDescent="0.25">
      <c r="B174" s="11" t="s">
        <v>621</v>
      </c>
      <c r="C174" s="26">
        <v>45343</v>
      </c>
      <c r="D174" s="23" t="s">
        <v>622</v>
      </c>
      <c r="E174" s="11" t="s">
        <v>14</v>
      </c>
      <c r="F174" s="23" t="s">
        <v>623</v>
      </c>
      <c r="G174" s="23" t="s">
        <v>624</v>
      </c>
      <c r="H174" s="11">
        <v>150</v>
      </c>
      <c r="I174" s="24">
        <v>152.75</v>
      </c>
      <c r="J174" s="24">
        <v>2580</v>
      </c>
      <c r="K174" s="11" t="s">
        <v>17</v>
      </c>
      <c r="L174" s="19"/>
      <c r="M174" s="11" t="s">
        <v>31</v>
      </c>
    </row>
    <row r="175" spans="2:13" s="15" customFormat="1" ht="15" customHeight="1" x14ac:dyDescent="0.25">
      <c r="B175" s="11" t="s">
        <v>625</v>
      </c>
      <c r="C175" s="26">
        <v>45329</v>
      </c>
      <c r="D175" s="23" t="s">
        <v>241</v>
      </c>
      <c r="E175" s="11" t="s">
        <v>14</v>
      </c>
      <c r="F175" s="23" t="s">
        <v>626</v>
      </c>
      <c r="G175" s="23" t="s">
        <v>627</v>
      </c>
      <c r="H175" s="11">
        <v>500</v>
      </c>
      <c r="I175" s="24">
        <v>0.78</v>
      </c>
      <c r="J175" s="24">
        <v>390</v>
      </c>
      <c r="K175" s="11" t="s">
        <v>17</v>
      </c>
      <c r="L175" s="19" t="s">
        <v>628</v>
      </c>
      <c r="M175" s="11" t="s">
        <v>31</v>
      </c>
    </row>
    <row r="176" spans="2:13" s="15" customFormat="1" ht="15" customHeight="1" x14ac:dyDescent="0.25">
      <c r="B176" s="11" t="s">
        <v>629</v>
      </c>
      <c r="C176" s="26">
        <v>45329</v>
      </c>
      <c r="D176" s="23" t="s">
        <v>630</v>
      </c>
      <c r="E176" s="11" t="s">
        <v>14</v>
      </c>
      <c r="F176" s="23" t="s">
        <v>631</v>
      </c>
      <c r="G176" s="23" t="s">
        <v>632</v>
      </c>
      <c r="H176" s="11">
        <v>68</v>
      </c>
      <c r="I176" s="24">
        <v>33.5</v>
      </c>
      <c r="J176" s="24">
        <v>779</v>
      </c>
      <c r="K176" s="11" t="s">
        <v>25</v>
      </c>
      <c r="L176" s="19" t="s">
        <v>332</v>
      </c>
      <c r="M176" s="11" t="s">
        <v>31</v>
      </c>
    </row>
    <row r="177" spans="2:13" s="15" customFormat="1" ht="15" customHeight="1" x14ac:dyDescent="0.25">
      <c r="B177" s="11" t="s">
        <v>633</v>
      </c>
      <c r="C177" s="26">
        <v>45329</v>
      </c>
      <c r="D177" s="23" t="s">
        <v>634</v>
      </c>
      <c r="E177" s="11" t="s">
        <v>14</v>
      </c>
      <c r="F177" s="23" t="s">
        <v>635</v>
      </c>
      <c r="G177" s="23" t="s">
        <v>636</v>
      </c>
      <c r="H177" s="11">
        <v>3</v>
      </c>
      <c r="I177" s="24">
        <v>460</v>
      </c>
      <c r="J177" s="24">
        <v>695</v>
      </c>
      <c r="K177" s="11" t="s">
        <v>17</v>
      </c>
      <c r="L177" s="19" t="s">
        <v>637</v>
      </c>
      <c r="M177" s="11" t="s">
        <v>31</v>
      </c>
    </row>
    <row r="178" spans="2:13" s="46" customFormat="1" ht="15" customHeight="1" x14ac:dyDescent="0.25">
      <c r="B178" s="11" t="s">
        <v>638</v>
      </c>
      <c r="C178" s="26">
        <v>45329</v>
      </c>
      <c r="D178" s="47" t="s">
        <v>639</v>
      </c>
      <c r="E178" s="11" t="s">
        <v>21</v>
      </c>
      <c r="F178" s="31" t="s">
        <v>640</v>
      </c>
      <c r="G178" s="23" t="s">
        <v>493</v>
      </c>
      <c r="H178" s="11">
        <v>40</v>
      </c>
      <c r="I178" s="24">
        <v>62.25</v>
      </c>
      <c r="J178" s="24">
        <v>2490</v>
      </c>
      <c r="K178" s="45" t="s">
        <v>17</v>
      </c>
      <c r="L178" s="19"/>
      <c r="M178" s="45" t="s">
        <v>18</v>
      </c>
    </row>
    <row r="179" spans="2:13" s="15" customFormat="1" ht="15" customHeight="1" x14ac:dyDescent="0.25">
      <c r="B179" s="11" t="s">
        <v>641</v>
      </c>
      <c r="C179" s="26">
        <v>45348</v>
      </c>
      <c r="D179" s="23" t="s">
        <v>642</v>
      </c>
      <c r="E179" s="11" t="s">
        <v>14</v>
      </c>
      <c r="F179" s="23" t="s">
        <v>643</v>
      </c>
      <c r="G179" s="23" t="s">
        <v>644</v>
      </c>
      <c r="H179" s="11">
        <v>150</v>
      </c>
      <c r="I179" s="24">
        <v>24.96</v>
      </c>
      <c r="J179" s="24">
        <v>1248</v>
      </c>
      <c r="K179" s="11" t="s">
        <v>17</v>
      </c>
      <c r="L179" s="19" t="s">
        <v>488</v>
      </c>
      <c r="M179" s="11" t="s">
        <v>31</v>
      </c>
    </row>
    <row r="180" spans="2:13" s="15" customFormat="1" ht="15" customHeight="1" x14ac:dyDescent="0.25">
      <c r="B180" s="11" t="s">
        <v>645</v>
      </c>
      <c r="C180" s="26">
        <v>45329</v>
      </c>
      <c r="D180" s="23" t="s">
        <v>646</v>
      </c>
      <c r="E180" s="11" t="s">
        <v>21</v>
      </c>
      <c r="F180" s="23" t="s">
        <v>647</v>
      </c>
      <c r="G180" s="23" t="s">
        <v>648</v>
      </c>
      <c r="H180" s="11">
        <v>1130</v>
      </c>
      <c r="I180" s="24">
        <v>166.15</v>
      </c>
      <c r="J180" s="24">
        <v>16290</v>
      </c>
      <c r="K180" s="11" t="s">
        <v>72</v>
      </c>
      <c r="L180" s="19"/>
      <c r="M180" s="11" t="s">
        <v>18</v>
      </c>
    </row>
    <row r="181" spans="2:13" s="15" customFormat="1" ht="15" customHeight="1" x14ac:dyDescent="0.25">
      <c r="B181" s="11" t="s">
        <v>649</v>
      </c>
      <c r="C181" s="26">
        <v>45329</v>
      </c>
      <c r="D181" s="23" t="s">
        <v>650</v>
      </c>
      <c r="E181" s="11" t="s">
        <v>14</v>
      </c>
      <c r="F181" s="23" t="s">
        <v>651</v>
      </c>
      <c r="G181" s="23" t="s">
        <v>652</v>
      </c>
      <c r="H181" s="11">
        <v>1</v>
      </c>
      <c r="I181" s="24">
        <v>1950</v>
      </c>
      <c r="J181" s="24">
        <v>1950</v>
      </c>
      <c r="K181" s="11" t="s">
        <v>25</v>
      </c>
      <c r="L181" s="19"/>
      <c r="M181" s="11" t="s">
        <v>18</v>
      </c>
    </row>
    <row r="182" spans="2:13" s="15" customFormat="1" ht="15" customHeight="1" x14ac:dyDescent="0.25">
      <c r="B182" s="11" t="s">
        <v>653</v>
      </c>
      <c r="C182" s="26">
        <v>45330</v>
      </c>
      <c r="D182" s="23" t="s">
        <v>654</v>
      </c>
      <c r="E182" s="11" t="s">
        <v>14</v>
      </c>
      <c r="F182" s="23" t="s">
        <v>120</v>
      </c>
      <c r="G182" s="23" t="s">
        <v>655</v>
      </c>
      <c r="H182" s="11">
        <v>300</v>
      </c>
      <c r="I182" s="42">
        <v>5.266</v>
      </c>
      <c r="J182" s="24">
        <v>1580</v>
      </c>
      <c r="K182" s="11" t="s">
        <v>25</v>
      </c>
      <c r="L182" s="19" t="s">
        <v>345</v>
      </c>
      <c r="M182" s="11" t="s">
        <v>31</v>
      </c>
    </row>
    <row r="183" spans="2:13" s="15" customFormat="1" ht="15" customHeight="1" x14ac:dyDescent="0.25">
      <c r="B183" s="11" t="s">
        <v>656</v>
      </c>
      <c r="C183" s="26">
        <v>45330</v>
      </c>
      <c r="D183" s="23" t="s">
        <v>381</v>
      </c>
      <c r="E183" s="11" t="s">
        <v>14</v>
      </c>
      <c r="F183" s="23" t="s">
        <v>657</v>
      </c>
      <c r="G183" s="31" t="s">
        <v>658</v>
      </c>
      <c r="H183" s="11">
        <v>50</v>
      </c>
      <c r="I183" s="24">
        <v>29</v>
      </c>
      <c r="J183" s="24">
        <v>1450</v>
      </c>
      <c r="K183" s="11" t="s">
        <v>25</v>
      </c>
      <c r="L183" s="19"/>
      <c r="M183" s="11" t="s">
        <v>18</v>
      </c>
    </row>
    <row r="184" spans="2:13" s="15" customFormat="1" ht="15" customHeight="1" x14ac:dyDescent="0.25">
      <c r="B184" s="11" t="s">
        <v>659</v>
      </c>
      <c r="C184" s="26">
        <v>45330</v>
      </c>
      <c r="D184" s="23" t="s">
        <v>660</v>
      </c>
      <c r="E184" s="11" t="s">
        <v>21</v>
      </c>
      <c r="F184" s="23" t="s">
        <v>22</v>
      </c>
      <c r="G184" s="23" t="s">
        <v>661</v>
      </c>
      <c r="H184" s="11">
        <v>500</v>
      </c>
      <c r="I184" s="24">
        <v>0.85</v>
      </c>
      <c r="J184" s="24">
        <v>425</v>
      </c>
      <c r="K184" s="11" t="s">
        <v>25</v>
      </c>
      <c r="L184" s="19"/>
      <c r="M184" s="11" t="s">
        <v>18</v>
      </c>
    </row>
    <row r="185" spans="2:13" s="15" customFormat="1" ht="15" customHeight="1" x14ac:dyDescent="0.25">
      <c r="B185" s="11" t="s">
        <v>662</v>
      </c>
      <c r="C185" s="26">
        <v>45331</v>
      </c>
      <c r="D185" s="23" t="s">
        <v>589</v>
      </c>
      <c r="E185" s="11" t="s">
        <v>14</v>
      </c>
      <c r="F185" s="23" t="s">
        <v>663</v>
      </c>
      <c r="G185" s="23" t="s">
        <v>664</v>
      </c>
      <c r="H185" s="11">
        <v>12</v>
      </c>
      <c r="I185" s="24">
        <v>115</v>
      </c>
      <c r="J185" s="24">
        <v>1380</v>
      </c>
      <c r="K185" s="11" t="s">
        <v>25</v>
      </c>
      <c r="L185" s="19"/>
      <c r="M185" s="11" t="s">
        <v>18</v>
      </c>
    </row>
    <row r="186" spans="2:13" s="15" customFormat="1" ht="15" customHeight="1" x14ac:dyDescent="0.25">
      <c r="B186" s="11" t="s">
        <v>665</v>
      </c>
      <c r="C186" s="26">
        <v>45335</v>
      </c>
      <c r="D186" s="23" t="s">
        <v>142</v>
      </c>
      <c r="E186" s="11" t="s">
        <v>14</v>
      </c>
      <c r="F186" s="23" t="s">
        <v>666</v>
      </c>
      <c r="G186" s="23" t="s">
        <v>144</v>
      </c>
      <c r="H186" s="11">
        <v>520</v>
      </c>
      <c r="I186" s="24">
        <v>24.52</v>
      </c>
      <c r="J186" s="24">
        <v>860</v>
      </c>
      <c r="K186" s="11" t="s">
        <v>25</v>
      </c>
      <c r="L186" s="19" t="s">
        <v>365</v>
      </c>
      <c r="M186" s="11" t="s">
        <v>31</v>
      </c>
    </row>
    <row r="187" spans="2:13" s="15" customFormat="1" ht="15" customHeight="1" x14ac:dyDescent="0.25">
      <c r="B187" s="11" t="s">
        <v>667</v>
      </c>
      <c r="C187" s="26">
        <v>45330</v>
      </c>
      <c r="D187" s="23" t="s">
        <v>589</v>
      </c>
      <c r="E187" s="11" t="s">
        <v>14</v>
      </c>
      <c r="F187" s="23" t="s">
        <v>90</v>
      </c>
      <c r="G187" s="31" t="s">
        <v>440</v>
      </c>
      <c r="H187" s="11">
        <v>160</v>
      </c>
      <c r="I187" s="24">
        <v>67</v>
      </c>
      <c r="J187" s="24">
        <v>5300</v>
      </c>
      <c r="K187" s="11" t="s">
        <v>25</v>
      </c>
      <c r="L187" s="19"/>
      <c r="M187" s="11" t="s">
        <v>18</v>
      </c>
    </row>
    <row r="188" spans="2:13" s="15" customFormat="1" ht="15" customHeight="1" x14ac:dyDescent="0.25">
      <c r="B188" s="11" t="s">
        <v>668</v>
      </c>
      <c r="C188" s="26">
        <v>45330</v>
      </c>
      <c r="D188" s="23" t="s">
        <v>669</v>
      </c>
      <c r="E188" s="11" t="s">
        <v>14</v>
      </c>
      <c r="F188" s="23" t="s">
        <v>670</v>
      </c>
      <c r="G188" s="31" t="s">
        <v>671</v>
      </c>
      <c r="H188" s="11">
        <v>15</v>
      </c>
      <c r="I188" s="24">
        <v>39</v>
      </c>
      <c r="J188" s="24">
        <v>585</v>
      </c>
      <c r="K188" s="11" t="s">
        <v>17</v>
      </c>
      <c r="L188" s="19" t="s">
        <v>395</v>
      </c>
      <c r="M188" s="11" t="s">
        <v>31</v>
      </c>
    </row>
    <row r="189" spans="2:13" s="15" customFormat="1" ht="30.75" customHeight="1" x14ac:dyDescent="0.25">
      <c r="B189" s="25" t="s">
        <v>672</v>
      </c>
      <c r="C189" s="26">
        <v>45330</v>
      </c>
      <c r="D189" s="43" t="s">
        <v>673</v>
      </c>
      <c r="E189" s="25" t="s">
        <v>21</v>
      </c>
      <c r="F189" s="44" t="s">
        <v>674</v>
      </c>
      <c r="G189" s="44" t="s">
        <v>675</v>
      </c>
      <c r="H189" s="25">
        <v>500</v>
      </c>
      <c r="I189" s="29">
        <v>138.94999999999999</v>
      </c>
      <c r="J189" s="29">
        <v>13895</v>
      </c>
      <c r="K189" s="25" t="s">
        <v>17</v>
      </c>
      <c r="L189" s="25"/>
      <c r="M189" s="25" t="s">
        <v>18</v>
      </c>
    </row>
    <row r="190" spans="2:13" s="15" customFormat="1" ht="15" customHeight="1" x14ac:dyDescent="0.25">
      <c r="B190" s="25" t="s">
        <v>672</v>
      </c>
      <c r="C190" s="26">
        <v>45330</v>
      </c>
      <c r="D190" s="43" t="s">
        <v>673</v>
      </c>
      <c r="E190" s="25" t="s">
        <v>21</v>
      </c>
      <c r="F190" s="44" t="s">
        <v>674</v>
      </c>
      <c r="G190" s="44" t="s">
        <v>676</v>
      </c>
      <c r="H190" s="25">
        <v>60</v>
      </c>
      <c r="I190" s="29">
        <v>17.920000000000002</v>
      </c>
      <c r="J190" s="29">
        <v>1075</v>
      </c>
      <c r="K190" s="25" t="s">
        <v>17</v>
      </c>
      <c r="L190" s="25" t="s">
        <v>677</v>
      </c>
      <c r="M190" s="25" t="s">
        <v>31</v>
      </c>
    </row>
    <row r="191" spans="2:13" s="15" customFormat="1" ht="15" customHeight="1" x14ac:dyDescent="0.25">
      <c r="B191" s="11" t="s">
        <v>678</v>
      </c>
      <c r="C191" s="26">
        <v>45341</v>
      </c>
      <c r="D191" s="23" t="s">
        <v>673</v>
      </c>
      <c r="E191" s="11" t="s">
        <v>21</v>
      </c>
      <c r="F191" s="23" t="s">
        <v>679</v>
      </c>
      <c r="G191" s="23" t="s">
        <v>680</v>
      </c>
      <c r="H191" s="11">
        <v>60</v>
      </c>
      <c r="I191" s="24">
        <v>95</v>
      </c>
      <c r="J191" s="24">
        <v>5700</v>
      </c>
      <c r="K191" s="11" t="s">
        <v>17</v>
      </c>
      <c r="L191" s="19" t="s">
        <v>677</v>
      </c>
      <c r="M191" s="11" t="s">
        <v>31</v>
      </c>
    </row>
    <row r="192" spans="2:13" s="15" customFormat="1" ht="15" customHeight="1" x14ac:dyDescent="0.25">
      <c r="B192" s="11" t="s">
        <v>681</v>
      </c>
      <c r="C192" s="26">
        <v>45330</v>
      </c>
      <c r="D192" s="23" t="s">
        <v>82</v>
      </c>
      <c r="E192" s="11" t="s">
        <v>14</v>
      </c>
      <c r="F192" s="23" t="s">
        <v>682</v>
      </c>
      <c r="G192" s="23" t="s">
        <v>683</v>
      </c>
      <c r="H192" s="11">
        <v>1</v>
      </c>
      <c r="I192" s="24">
        <v>2250</v>
      </c>
      <c r="J192" s="24">
        <v>2250</v>
      </c>
      <c r="K192" s="11" t="s">
        <v>17</v>
      </c>
      <c r="L192" s="19"/>
      <c r="M192" s="11" t="s">
        <v>18</v>
      </c>
    </row>
    <row r="193" spans="2:13" s="15" customFormat="1" ht="15" customHeight="1" x14ac:dyDescent="0.25">
      <c r="B193" s="11" t="s">
        <v>684</v>
      </c>
      <c r="C193" s="26">
        <v>45331</v>
      </c>
      <c r="D193" s="23" t="s">
        <v>115</v>
      </c>
      <c r="E193" s="11" t="s">
        <v>14</v>
      </c>
      <c r="F193" s="23" t="s">
        <v>685</v>
      </c>
      <c r="G193" s="23" t="s">
        <v>686</v>
      </c>
      <c r="H193" s="11">
        <v>10</v>
      </c>
      <c r="I193" s="24">
        <v>45</v>
      </c>
      <c r="J193" s="24">
        <v>450</v>
      </c>
      <c r="K193" s="11" t="s">
        <v>25</v>
      </c>
      <c r="L193" s="19"/>
      <c r="M193" s="11" t="s">
        <v>18</v>
      </c>
    </row>
    <row r="194" spans="2:13" s="15" customFormat="1" ht="15" customHeight="1" x14ac:dyDescent="0.25">
      <c r="B194" s="11" t="s">
        <v>687</v>
      </c>
      <c r="C194" s="26">
        <v>45331</v>
      </c>
      <c r="D194" s="23" t="s">
        <v>688</v>
      </c>
      <c r="E194" s="11" t="s">
        <v>21</v>
      </c>
      <c r="F194" s="23" t="s">
        <v>689</v>
      </c>
      <c r="G194" s="23" t="s">
        <v>690</v>
      </c>
      <c r="H194" s="11">
        <v>20</v>
      </c>
      <c r="I194" s="24">
        <v>38</v>
      </c>
      <c r="J194" s="24">
        <v>760</v>
      </c>
      <c r="K194" s="11" t="s">
        <v>72</v>
      </c>
      <c r="L194" s="19"/>
      <c r="M194" s="11" t="s">
        <v>18</v>
      </c>
    </row>
    <row r="195" spans="2:13" s="15" customFormat="1" ht="15" customHeight="1" x14ac:dyDescent="0.25">
      <c r="B195" s="11" t="s">
        <v>691</v>
      </c>
      <c r="C195" s="26">
        <v>45332</v>
      </c>
      <c r="D195" s="23" t="s">
        <v>203</v>
      </c>
      <c r="E195" s="11" t="s">
        <v>14</v>
      </c>
      <c r="F195" s="23" t="s">
        <v>692</v>
      </c>
      <c r="G195" s="31" t="s">
        <v>693</v>
      </c>
      <c r="H195" s="11">
        <v>5701</v>
      </c>
      <c r="I195" s="24">
        <v>85.65</v>
      </c>
      <c r="J195" s="24">
        <v>14154.25</v>
      </c>
      <c r="K195" s="11" t="s">
        <v>17</v>
      </c>
      <c r="L195" s="19" t="s">
        <v>694</v>
      </c>
      <c r="M195" s="11" t="s">
        <v>31</v>
      </c>
    </row>
    <row r="196" spans="2:13" s="15" customFormat="1" ht="15" customHeight="1" x14ac:dyDescent="0.25">
      <c r="B196" s="11" t="s">
        <v>695</v>
      </c>
      <c r="C196" s="26">
        <v>45332</v>
      </c>
      <c r="D196" s="23" t="s">
        <v>203</v>
      </c>
      <c r="E196" s="11" t="s">
        <v>14</v>
      </c>
      <c r="F196" s="23" t="s">
        <v>696</v>
      </c>
      <c r="G196" s="23" t="s">
        <v>697</v>
      </c>
      <c r="H196" s="11">
        <v>10</v>
      </c>
      <c r="I196" s="24">
        <v>5100</v>
      </c>
      <c r="J196" s="24">
        <v>21420</v>
      </c>
      <c r="K196" s="11" t="s">
        <v>17</v>
      </c>
      <c r="L196" s="19" t="s">
        <v>694</v>
      </c>
      <c r="M196" s="11" t="s">
        <v>31</v>
      </c>
    </row>
    <row r="197" spans="2:13" s="15" customFormat="1" ht="15" customHeight="1" x14ac:dyDescent="0.25">
      <c r="B197" s="11" t="s">
        <v>698</v>
      </c>
      <c r="C197" s="26">
        <v>45332</v>
      </c>
      <c r="D197" s="23" t="s">
        <v>203</v>
      </c>
      <c r="E197" s="11" t="s">
        <v>14</v>
      </c>
      <c r="F197" s="23" t="s">
        <v>699</v>
      </c>
      <c r="G197" s="31" t="s">
        <v>700</v>
      </c>
      <c r="H197" s="11">
        <v>241</v>
      </c>
      <c r="I197" s="24">
        <v>6192</v>
      </c>
      <c r="J197" s="24">
        <v>61563</v>
      </c>
      <c r="K197" s="11" t="s">
        <v>17</v>
      </c>
      <c r="L197" s="19" t="s">
        <v>694</v>
      </c>
      <c r="M197" s="11" t="s">
        <v>31</v>
      </c>
    </row>
    <row r="198" spans="2:13" s="15" customFormat="1" ht="33.75" customHeight="1" x14ac:dyDescent="0.25">
      <c r="B198" s="25" t="s">
        <v>701</v>
      </c>
      <c r="C198" s="26">
        <v>45332</v>
      </c>
      <c r="D198" s="23" t="s">
        <v>203</v>
      </c>
      <c r="E198" s="25" t="s">
        <v>14</v>
      </c>
      <c r="F198" s="44" t="s">
        <v>702</v>
      </c>
      <c r="G198" s="44" t="s">
        <v>703</v>
      </c>
      <c r="H198" s="25">
        <v>219</v>
      </c>
      <c r="I198" s="29">
        <v>4385</v>
      </c>
      <c r="J198" s="29">
        <v>42105</v>
      </c>
      <c r="K198" s="25" t="s">
        <v>17</v>
      </c>
      <c r="L198" s="19" t="s">
        <v>694</v>
      </c>
      <c r="M198" s="25" t="s">
        <v>31</v>
      </c>
    </row>
    <row r="199" spans="2:13" s="15" customFormat="1" ht="15" customHeight="1" x14ac:dyDescent="0.25">
      <c r="B199" s="25" t="s">
        <v>704</v>
      </c>
      <c r="C199" s="26">
        <v>45341</v>
      </c>
      <c r="D199" s="50" t="s">
        <v>564</v>
      </c>
      <c r="E199" s="11" t="s">
        <v>14</v>
      </c>
      <c r="F199" s="23" t="s">
        <v>705</v>
      </c>
      <c r="G199" s="23" t="s">
        <v>706</v>
      </c>
      <c r="H199" s="11">
        <v>2</v>
      </c>
      <c r="I199" s="24">
        <v>420</v>
      </c>
      <c r="J199" s="24">
        <v>1190</v>
      </c>
      <c r="K199" s="11" t="s">
        <v>25</v>
      </c>
      <c r="L199" s="19"/>
      <c r="M199" s="11" t="s">
        <v>18</v>
      </c>
    </row>
    <row r="200" spans="2:13" s="15" customFormat="1" ht="15" customHeight="1" x14ac:dyDescent="0.25">
      <c r="B200" s="25" t="s">
        <v>707</v>
      </c>
      <c r="C200" s="26">
        <v>45334</v>
      </c>
      <c r="D200" s="23" t="s">
        <v>708</v>
      </c>
      <c r="E200" s="11" t="s">
        <v>14</v>
      </c>
      <c r="F200" s="23" t="s">
        <v>709</v>
      </c>
      <c r="G200" s="23" t="s">
        <v>710</v>
      </c>
      <c r="H200" s="11">
        <v>30</v>
      </c>
      <c r="I200" s="24">
        <v>70</v>
      </c>
      <c r="J200" s="24">
        <v>700</v>
      </c>
      <c r="K200" s="11" t="s">
        <v>25</v>
      </c>
      <c r="L200" s="19"/>
      <c r="M200" s="11" t="s">
        <v>18</v>
      </c>
    </row>
    <row r="201" spans="2:13" s="15" customFormat="1" ht="15" customHeight="1" x14ac:dyDescent="0.25">
      <c r="B201" s="25" t="s">
        <v>711</v>
      </c>
      <c r="C201" s="26">
        <v>45334</v>
      </c>
      <c r="D201" s="23" t="s">
        <v>712</v>
      </c>
      <c r="E201" s="11" t="s">
        <v>14</v>
      </c>
      <c r="F201" s="31" t="s">
        <v>713</v>
      </c>
      <c r="G201" s="31" t="s">
        <v>714</v>
      </c>
      <c r="H201" s="11">
        <v>2000</v>
      </c>
      <c r="I201" s="24">
        <v>3.95</v>
      </c>
      <c r="J201" s="24">
        <v>7900</v>
      </c>
      <c r="K201" s="11" t="s">
        <v>17</v>
      </c>
      <c r="L201" s="19"/>
      <c r="M201" s="11" t="s">
        <v>18</v>
      </c>
    </row>
    <row r="202" spans="2:13" s="15" customFormat="1" ht="15" customHeight="1" x14ac:dyDescent="0.25">
      <c r="B202" s="25" t="s">
        <v>715</v>
      </c>
      <c r="C202" s="26">
        <v>45335</v>
      </c>
      <c r="D202" s="23" t="s">
        <v>716</v>
      </c>
      <c r="E202" s="11" t="s">
        <v>14</v>
      </c>
      <c r="F202" s="23" t="s">
        <v>717</v>
      </c>
      <c r="G202" s="23" t="s">
        <v>718</v>
      </c>
      <c r="H202" s="11">
        <v>1000</v>
      </c>
      <c r="I202" s="24">
        <v>2.65</v>
      </c>
      <c r="J202" s="51">
        <v>2650</v>
      </c>
      <c r="K202" s="11" t="s">
        <v>25</v>
      </c>
      <c r="L202" s="19"/>
      <c r="M202" s="11" t="s">
        <v>18</v>
      </c>
    </row>
    <row r="203" spans="2:13" s="15" customFormat="1" ht="15" customHeight="1" x14ac:dyDescent="0.25">
      <c r="B203" s="25" t="s">
        <v>719</v>
      </c>
      <c r="C203" s="26">
        <v>45338</v>
      </c>
      <c r="D203" s="23" t="s">
        <v>720</v>
      </c>
      <c r="E203" s="11" t="s">
        <v>14</v>
      </c>
      <c r="F203" s="23" t="s">
        <v>721</v>
      </c>
      <c r="G203" s="23" t="s">
        <v>722</v>
      </c>
      <c r="H203" s="11">
        <v>3</v>
      </c>
      <c r="I203" s="24">
        <v>3150</v>
      </c>
      <c r="J203" s="51">
        <v>9450</v>
      </c>
      <c r="K203" s="11" t="s">
        <v>25</v>
      </c>
      <c r="L203" s="19"/>
      <c r="M203" s="11" t="s">
        <v>18</v>
      </c>
    </row>
    <row r="204" spans="2:13" s="15" customFormat="1" ht="15" customHeight="1" x14ac:dyDescent="0.25">
      <c r="B204" s="25" t="s">
        <v>723</v>
      </c>
      <c r="C204" s="26">
        <v>45335</v>
      </c>
      <c r="D204" s="23" t="s">
        <v>724</v>
      </c>
      <c r="E204" s="11" t="s">
        <v>21</v>
      </c>
      <c r="F204" s="23" t="s">
        <v>596</v>
      </c>
      <c r="G204" s="23" t="s">
        <v>725</v>
      </c>
      <c r="H204" s="52">
        <v>1000</v>
      </c>
      <c r="I204" s="53">
        <v>2.9249999999999998</v>
      </c>
      <c r="J204" s="51">
        <v>2925</v>
      </c>
      <c r="K204" s="11" t="s">
        <v>25</v>
      </c>
      <c r="L204" s="19"/>
      <c r="M204" s="11" t="s">
        <v>18</v>
      </c>
    </row>
    <row r="205" spans="2:13" s="15" customFormat="1" ht="15" customHeight="1" x14ac:dyDescent="0.25">
      <c r="B205" s="25" t="s">
        <v>726</v>
      </c>
      <c r="C205" s="26">
        <v>45337</v>
      </c>
      <c r="D205" s="23" t="s">
        <v>605</v>
      </c>
      <c r="E205" s="11" t="s">
        <v>14</v>
      </c>
      <c r="F205" s="23" t="s">
        <v>727</v>
      </c>
      <c r="G205" s="23" t="s">
        <v>728</v>
      </c>
      <c r="H205" s="52">
        <v>1000</v>
      </c>
      <c r="I205" s="51">
        <v>8.9</v>
      </c>
      <c r="J205" s="51">
        <v>8900</v>
      </c>
      <c r="K205" s="11" t="s">
        <v>25</v>
      </c>
      <c r="L205" s="19"/>
      <c r="M205" s="11" t="s">
        <v>18</v>
      </c>
    </row>
    <row r="206" spans="2:13" s="15" customFormat="1" ht="15" customHeight="1" x14ac:dyDescent="0.25">
      <c r="B206" s="25" t="s">
        <v>729</v>
      </c>
      <c r="C206" s="26">
        <v>45335</v>
      </c>
      <c r="D206" s="23" t="s">
        <v>730</v>
      </c>
      <c r="E206" s="11" t="s">
        <v>14</v>
      </c>
      <c r="F206" s="23" t="s">
        <v>731</v>
      </c>
      <c r="G206" s="23" t="s">
        <v>732</v>
      </c>
      <c r="H206" s="11">
        <v>9</v>
      </c>
      <c r="I206" s="24">
        <v>375</v>
      </c>
      <c r="J206" s="24">
        <v>3375</v>
      </c>
      <c r="K206" s="11" t="s">
        <v>17</v>
      </c>
      <c r="L206" s="19"/>
      <c r="M206" s="11" t="s">
        <v>18</v>
      </c>
    </row>
    <row r="207" spans="2:13" s="15" customFormat="1" ht="15" customHeight="1" x14ac:dyDescent="0.25">
      <c r="B207" s="25" t="s">
        <v>733</v>
      </c>
      <c r="C207" s="26">
        <v>45335</v>
      </c>
      <c r="D207" s="23" t="s">
        <v>734</v>
      </c>
      <c r="E207" s="11" t="s">
        <v>14</v>
      </c>
      <c r="F207" s="23" t="s">
        <v>511</v>
      </c>
      <c r="G207" s="23" t="s">
        <v>735</v>
      </c>
      <c r="H207" s="11">
        <v>200</v>
      </c>
      <c r="I207" s="42">
        <v>1.575</v>
      </c>
      <c r="J207" s="24">
        <v>315</v>
      </c>
      <c r="K207" s="11" t="s">
        <v>25</v>
      </c>
      <c r="L207" s="19"/>
      <c r="M207" s="11" t="s">
        <v>18</v>
      </c>
    </row>
    <row r="208" spans="2:13" s="15" customFormat="1" ht="15" customHeight="1" x14ac:dyDescent="0.25">
      <c r="B208" s="25" t="s">
        <v>736</v>
      </c>
      <c r="C208" s="26">
        <v>45335</v>
      </c>
      <c r="D208" s="23" t="s">
        <v>737</v>
      </c>
      <c r="E208" s="11" t="s">
        <v>21</v>
      </c>
      <c r="F208" s="23" t="s">
        <v>738</v>
      </c>
      <c r="G208" s="31" t="s">
        <v>739</v>
      </c>
      <c r="H208" s="11">
        <v>600</v>
      </c>
      <c r="I208" s="24">
        <v>0.72499999999999998</v>
      </c>
      <c r="J208" s="24">
        <v>435</v>
      </c>
      <c r="K208" s="11" t="s">
        <v>17</v>
      </c>
      <c r="L208" s="19"/>
      <c r="M208" s="11" t="s">
        <v>18</v>
      </c>
    </row>
    <row r="209" spans="2:13" s="15" customFormat="1" ht="15" customHeight="1" x14ac:dyDescent="0.25">
      <c r="B209" s="25" t="s">
        <v>740</v>
      </c>
      <c r="C209" s="26">
        <v>45335</v>
      </c>
      <c r="D209" s="54" t="s">
        <v>741</v>
      </c>
      <c r="E209" s="11" t="s">
        <v>21</v>
      </c>
      <c r="F209" s="23" t="s">
        <v>742</v>
      </c>
      <c r="G209" s="23" t="s">
        <v>743</v>
      </c>
      <c r="H209" s="11">
        <v>355</v>
      </c>
      <c r="I209" s="24">
        <v>128.80000000000001</v>
      </c>
      <c r="J209" s="24">
        <v>3065</v>
      </c>
      <c r="K209" s="11" t="s">
        <v>17</v>
      </c>
      <c r="L209" s="19"/>
      <c r="M209" s="11" t="s">
        <v>18</v>
      </c>
    </row>
    <row r="210" spans="2:13" s="15" customFormat="1" ht="15" customHeight="1" x14ac:dyDescent="0.25">
      <c r="B210" s="25" t="s">
        <v>744</v>
      </c>
      <c r="C210" s="26">
        <v>45336</v>
      </c>
      <c r="D210" s="23" t="s">
        <v>734</v>
      </c>
      <c r="E210" s="11" t="s">
        <v>14</v>
      </c>
      <c r="F210" s="23" t="s">
        <v>745</v>
      </c>
      <c r="G210" s="23" t="s">
        <v>746</v>
      </c>
      <c r="H210" s="11">
        <v>50</v>
      </c>
      <c r="I210" s="24">
        <v>52</v>
      </c>
      <c r="J210" s="24">
        <v>1304</v>
      </c>
      <c r="K210" s="11" t="s">
        <v>25</v>
      </c>
      <c r="L210" s="19"/>
      <c r="M210" s="11" t="s">
        <v>18</v>
      </c>
    </row>
    <row r="211" spans="2:13" s="15" customFormat="1" ht="15" customHeight="1" x14ac:dyDescent="0.25">
      <c r="B211" s="25" t="s">
        <v>747</v>
      </c>
      <c r="C211" s="26">
        <v>45336</v>
      </c>
      <c r="D211" s="23" t="s">
        <v>589</v>
      </c>
      <c r="E211" s="11" t="s">
        <v>14</v>
      </c>
      <c r="F211" s="23" t="s">
        <v>748</v>
      </c>
      <c r="G211" s="23" t="s">
        <v>749</v>
      </c>
      <c r="H211" s="11">
        <v>480</v>
      </c>
      <c r="I211" s="24">
        <v>36</v>
      </c>
      <c r="J211" s="24">
        <v>17280</v>
      </c>
      <c r="K211" s="11" t="s">
        <v>25</v>
      </c>
      <c r="L211" s="19"/>
      <c r="M211" s="11" t="s">
        <v>18</v>
      </c>
    </row>
    <row r="212" spans="2:13" s="15" customFormat="1" ht="15" customHeight="1" x14ac:dyDescent="0.25">
      <c r="B212" s="25" t="s">
        <v>750</v>
      </c>
      <c r="C212" s="26">
        <v>45336</v>
      </c>
      <c r="D212" s="23" t="s">
        <v>751</v>
      </c>
      <c r="E212" s="11" t="s">
        <v>14</v>
      </c>
      <c r="F212" s="23" t="s">
        <v>752</v>
      </c>
      <c r="G212" s="31" t="s">
        <v>753</v>
      </c>
      <c r="H212" s="11">
        <v>55</v>
      </c>
      <c r="I212" s="24">
        <v>48</v>
      </c>
      <c r="J212" s="24">
        <v>2640</v>
      </c>
      <c r="K212" s="11" t="s">
        <v>25</v>
      </c>
      <c r="L212" s="19"/>
      <c r="M212" s="11" t="s">
        <v>18</v>
      </c>
    </row>
    <row r="213" spans="2:13" s="15" customFormat="1" ht="15" customHeight="1" x14ac:dyDescent="0.25">
      <c r="B213" s="25" t="s">
        <v>754</v>
      </c>
      <c r="C213" s="26">
        <v>45342</v>
      </c>
      <c r="D213" s="23" t="s">
        <v>142</v>
      </c>
      <c r="E213" s="11" t="s">
        <v>14</v>
      </c>
      <c r="F213" s="23" t="s">
        <v>755</v>
      </c>
      <c r="G213" s="23" t="s">
        <v>756</v>
      </c>
      <c r="H213" s="11">
        <v>15</v>
      </c>
      <c r="I213" s="24">
        <v>32.5</v>
      </c>
      <c r="J213" s="24">
        <v>487.5</v>
      </c>
      <c r="K213" s="11" t="s">
        <v>25</v>
      </c>
      <c r="L213" s="19" t="s">
        <v>506</v>
      </c>
      <c r="M213" s="11" t="s">
        <v>31</v>
      </c>
    </row>
    <row r="214" spans="2:13" s="15" customFormat="1" ht="15" customHeight="1" x14ac:dyDescent="0.25">
      <c r="B214" s="25" t="s">
        <v>757</v>
      </c>
      <c r="C214" s="26">
        <v>45336</v>
      </c>
      <c r="D214" s="23" t="s">
        <v>758</v>
      </c>
      <c r="E214" s="11" t="s">
        <v>14</v>
      </c>
      <c r="F214" s="23" t="s">
        <v>759</v>
      </c>
      <c r="G214" s="23" t="s">
        <v>760</v>
      </c>
      <c r="H214" s="11">
        <v>100</v>
      </c>
      <c r="I214" s="24">
        <v>28.85</v>
      </c>
      <c r="J214" s="24">
        <v>2885</v>
      </c>
      <c r="K214" s="11" t="s">
        <v>25</v>
      </c>
      <c r="L214" s="19" t="s">
        <v>761</v>
      </c>
      <c r="M214" s="11" t="s">
        <v>31</v>
      </c>
    </row>
    <row r="215" spans="2:13" s="15" customFormat="1" ht="15" customHeight="1" x14ac:dyDescent="0.25">
      <c r="B215" s="25" t="s">
        <v>762</v>
      </c>
      <c r="C215" s="26">
        <v>45336</v>
      </c>
      <c r="D215" s="23" t="s">
        <v>763</v>
      </c>
      <c r="E215" s="11" t="s">
        <v>14</v>
      </c>
      <c r="F215" s="23" t="s">
        <v>764</v>
      </c>
      <c r="G215" s="23" t="s">
        <v>765</v>
      </c>
      <c r="H215" s="11">
        <v>1</v>
      </c>
      <c r="I215" s="24">
        <v>350</v>
      </c>
      <c r="J215" s="24">
        <v>350</v>
      </c>
      <c r="K215" s="11" t="s">
        <v>25</v>
      </c>
      <c r="L215" s="19"/>
      <c r="M215" s="11" t="s">
        <v>18</v>
      </c>
    </row>
    <row r="216" spans="2:13" s="15" customFormat="1" ht="15" customHeight="1" x14ac:dyDescent="0.25">
      <c r="B216" s="25" t="s">
        <v>766</v>
      </c>
      <c r="C216" s="26">
        <v>45345</v>
      </c>
      <c r="D216" s="23" t="s">
        <v>248</v>
      </c>
      <c r="E216" s="11" t="s">
        <v>14</v>
      </c>
      <c r="F216" s="23" t="s">
        <v>767</v>
      </c>
      <c r="G216" s="23" t="s">
        <v>768</v>
      </c>
      <c r="H216" s="11">
        <v>230</v>
      </c>
      <c r="I216" s="24">
        <v>18.350000000000001</v>
      </c>
      <c r="J216" s="24">
        <v>4220.5</v>
      </c>
      <c r="K216" s="11" t="s">
        <v>17</v>
      </c>
      <c r="L216" s="19" t="s">
        <v>412</v>
      </c>
      <c r="M216" s="11" t="s">
        <v>31</v>
      </c>
    </row>
    <row r="217" spans="2:13" s="15" customFormat="1" ht="15" customHeight="1" x14ac:dyDescent="0.25">
      <c r="B217" s="25" t="s">
        <v>769</v>
      </c>
      <c r="C217" s="26">
        <v>45338</v>
      </c>
      <c r="D217" s="23" t="s">
        <v>758</v>
      </c>
      <c r="E217" s="11" t="s">
        <v>14</v>
      </c>
      <c r="F217" s="23" t="s">
        <v>770</v>
      </c>
      <c r="G217" s="23" t="s">
        <v>771</v>
      </c>
      <c r="H217" s="11">
        <v>400</v>
      </c>
      <c r="I217" s="42">
        <v>1.125</v>
      </c>
      <c r="J217" s="24">
        <v>450</v>
      </c>
      <c r="K217" s="11" t="s">
        <v>25</v>
      </c>
      <c r="L217" s="19" t="s">
        <v>761</v>
      </c>
      <c r="M217" s="11" t="s">
        <v>31</v>
      </c>
    </row>
    <row r="218" spans="2:13" s="15" customFormat="1" ht="15" customHeight="1" x14ac:dyDescent="0.25">
      <c r="B218" s="25" t="s">
        <v>772</v>
      </c>
      <c r="C218" s="26">
        <v>45338</v>
      </c>
      <c r="D218" s="23" t="s">
        <v>773</v>
      </c>
      <c r="E218" s="11" t="s">
        <v>14</v>
      </c>
      <c r="F218" s="23" t="s">
        <v>774</v>
      </c>
      <c r="G218" s="31" t="s">
        <v>771</v>
      </c>
      <c r="H218" s="11">
        <v>30</v>
      </c>
      <c r="I218" s="24">
        <v>46.33</v>
      </c>
      <c r="J218" s="24">
        <v>1390</v>
      </c>
      <c r="K218" s="11" t="s">
        <v>17</v>
      </c>
      <c r="L218" s="11"/>
      <c r="M218" s="11" t="s">
        <v>31</v>
      </c>
    </row>
    <row r="219" spans="2:13" s="15" customFormat="1" ht="15" customHeight="1" x14ac:dyDescent="0.25">
      <c r="B219" s="25" t="s">
        <v>775</v>
      </c>
      <c r="C219" s="26">
        <v>45338</v>
      </c>
      <c r="D219" s="23" t="s">
        <v>776</v>
      </c>
      <c r="E219" s="11" t="s">
        <v>14</v>
      </c>
      <c r="F219" s="23" t="s">
        <v>143</v>
      </c>
      <c r="G219" s="23" t="s">
        <v>777</v>
      </c>
      <c r="H219" s="11">
        <v>10</v>
      </c>
      <c r="I219" s="24">
        <v>44.5</v>
      </c>
      <c r="J219" s="24">
        <v>445</v>
      </c>
      <c r="K219" s="11" t="s">
        <v>25</v>
      </c>
      <c r="L219" s="19"/>
      <c r="M219" s="11" t="s">
        <v>18</v>
      </c>
    </row>
    <row r="220" spans="2:13" s="15" customFormat="1" ht="15" customHeight="1" x14ac:dyDescent="0.25">
      <c r="B220" s="25" t="s">
        <v>778</v>
      </c>
      <c r="C220" s="26">
        <v>45338</v>
      </c>
      <c r="D220" s="23" t="s">
        <v>779</v>
      </c>
      <c r="E220" s="11" t="s">
        <v>21</v>
      </c>
      <c r="F220" s="23" t="s">
        <v>780</v>
      </c>
      <c r="G220" s="23" t="s">
        <v>781</v>
      </c>
      <c r="H220" s="11">
        <v>200</v>
      </c>
      <c r="I220" s="24">
        <v>6.125</v>
      </c>
      <c r="J220" s="24">
        <v>1225</v>
      </c>
      <c r="K220" s="11" t="s">
        <v>17</v>
      </c>
      <c r="L220" s="19" t="s">
        <v>377</v>
      </c>
      <c r="M220" s="11" t="s">
        <v>31</v>
      </c>
    </row>
    <row r="221" spans="2:13" s="15" customFormat="1" ht="15" customHeight="1" x14ac:dyDescent="0.25">
      <c r="B221" s="25" t="s">
        <v>782</v>
      </c>
      <c r="C221" s="26">
        <v>45341</v>
      </c>
      <c r="D221" s="23" t="s">
        <v>783</v>
      </c>
      <c r="E221" s="11" t="s">
        <v>21</v>
      </c>
      <c r="F221" s="23" t="s">
        <v>784</v>
      </c>
      <c r="G221" s="15" t="s">
        <v>785</v>
      </c>
      <c r="H221" s="11">
        <v>714</v>
      </c>
      <c r="I221" s="24">
        <v>45.55</v>
      </c>
      <c r="J221" s="24">
        <v>1015</v>
      </c>
      <c r="K221" s="11" t="s">
        <v>25</v>
      </c>
      <c r="L221" s="19"/>
      <c r="M221" s="11" t="s">
        <v>18</v>
      </c>
    </row>
    <row r="222" spans="2:13" s="15" customFormat="1" ht="15" customHeight="1" x14ac:dyDescent="0.25">
      <c r="B222" s="25" t="s">
        <v>786</v>
      </c>
      <c r="C222" s="26">
        <v>45341</v>
      </c>
      <c r="D222" s="23" t="s">
        <v>783</v>
      </c>
      <c r="E222" s="11" t="s">
        <v>21</v>
      </c>
      <c r="F222" s="23" t="s">
        <v>787</v>
      </c>
      <c r="G222" s="23" t="s">
        <v>788</v>
      </c>
      <c r="H222" s="11">
        <v>30</v>
      </c>
      <c r="I222" s="24">
        <v>21.5</v>
      </c>
      <c r="J222" s="24">
        <v>305</v>
      </c>
      <c r="K222" s="11" t="s">
        <v>25</v>
      </c>
      <c r="L222" s="19"/>
      <c r="M222" s="11" t="s">
        <v>18</v>
      </c>
    </row>
    <row r="223" spans="2:13" s="15" customFormat="1" ht="15" customHeight="1" x14ac:dyDescent="0.25">
      <c r="B223" s="25" t="s">
        <v>789</v>
      </c>
      <c r="C223" s="26">
        <v>45341</v>
      </c>
      <c r="D223" s="23" t="s">
        <v>724</v>
      </c>
      <c r="E223" s="11" t="s">
        <v>14</v>
      </c>
      <c r="F223" s="23" t="s">
        <v>790</v>
      </c>
      <c r="G223" s="23" t="s">
        <v>791</v>
      </c>
      <c r="H223" s="11">
        <v>6</v>
      </c>
      <c r="I223" s="24">
        <v>105</v>
      </c>
      <c r="J223" s="24">
        <v>630</v>
      </c>
      <c r="K223" s="11" t="s">
        <v>25</v>
      </c>
      <c r="L223" s="19"/>
      <c r="M223" s="11" t="s">
        <v>18</v>
      </c>
    </row>
    <row r="224" spans="2:13" s="15" customFormat="1" ht="15" customHeight="1" x14ac:dyDescent="0.25">
      <c r="B224" s="25" t="s">
        <v>792</v>
      </c>
      <c r="C224" s="26">
        <v>45341</v>
      </c>
      <c r="D224" s="23" t="s">
        <v>773</v>
      </c>
      <c r="E224" s="11" t="s">
        <v>14</v>
      </c>
      <c r="F224" s="23" t="s">
        <v>41</v>
      </c>
      <c r="G224" s="23" t="s">
        <v>793</v>
      </c>
      <c r="H224" s="11">
        <v>100</v>
      </c>
      <c r="I224" s="24">
        <v>1.9</v>
      </c>
      <c r="J224" s="24">
        <v>190</v>
      </c>
      <c r="K224" s="11" t="s">
        <v>17</v>
      </c>
      <c r="L224" s="19" t="s">
        <v>391</v>
      </c>
      <c r="M224" s="11" t="s">
        <v>31</v>
      </c>
    </row>
    <row r="225" spans="2:13" s="15" customFormat="1" ht="15" customHeight="1" x14ac:dyDescent="0.25">
      <c r="B225" s="25" t="s">
        <v>794</v>
      </c>
      <c r="C225" s="26">
        <v>45341</v>
      </c>
      <c r="D225" s="23" t="s">
        <v>795</v>
      </c>
      <c r="E225" s="11" t="s">
        <v>14</v>
      </c>
      <c r="F225" s="23" t="s">
        <v>796</v>
      </c>
      <c r="G225" s="23" t="s">
        <v>797</v>
      </c>
      <c r="H225" s="11">
        <v>150</v>
      </c>
      <c r="I225" s="24">
        <v>13.83</v>
      </c>
      <c r="J225" s="24">
        <v>2075</v>
      </c>
      <c r="K225" s="11" t="s">
        <v>17</v>
      </c>
      <c r="L225" s="19"/>
      <c r="M225" s="11" t="s">
        <v>18</v>
      </c>
    </row>
    <row r="226" spans="2:13" s="15" customFormat="1" ht="15" customHeight="1" x14ac:dyDescent="0.25">
      <c r="B226" s="25" t="s">
        <v>798</v>
      </c>
      <c r="C226" s="26">
        <v>45341</v>
      </c>
      <c r="D226" s="23" t="s">
        <v>799</v>
      </c>
      <c r="E226" s="11" t="s">
        <v>21</v>
      </c>
      <c r="F226" s="23" t="s">
        <v>800</v>
      </c>
      <c r="G226" s="23" t="s">
        <v>801</v>
      </c>
      <c r="H226" s="11">
        <v>50</v>
      </c>
      <c r="I226" s="24">
        <v>23.75</v>
      </c>
      <c r="J226" s="24">
        <v>1187.5</v>
      </c>
      <c r="K226" s="11" t="s">
        <v>25</v>
      </c>
      <c r="L226" s="19"/>
      <c r="M226" s="11" t="s">
        <v>18</v>
      </c>
    </row>
    <row r="227" spans="2:13" s="15" customFormat="1" ht="15" customHeight="1" x14ac:dyDescent="0.25">
      <c r="B227" s="25" t="s">
        <v>802</v>
      </c>
      <c r="C227" s="26">
        <v>45341</v>
      </c>
      <c r="D227" s="23" t="s">
        <v>273</v>
      </c>
      <c r="E227" s="11" t="s">
        <v>14</v>
      </c>
      <c r="F227" s="23" t="s">
        <v>803</v>
      </c>
      <c r="G227" s="23" t="s">
        <v>804</v>
      </c>
      <c r="H227" s="11">
        <v>100</v>
      </c>
      <c r="I227" s="24">
        <v>12.85</v>
      </c>
      <c r="J227" s="24">
        <v>1285</v>
      </c>
      <c r="K227" s="11" t="s">
        <v>25</v>
      </c>
      <c r="L227" s="19"/>
      <c r="M227" s="11" t="s">
        <v>18</v>
      </c>
    </row>
    <row r="228" spans="2:13" s="15" customFormat="1" ht="15" customHeight="1" x14ac:dyDescent="0.25">
      <c r="B228" s="25" t="s">
        <v>805</v>
      </c>
      <c r="C228" s="26">
        <v>45341</v>
      </c>
      <c r="D228" s="23" t="s">
        <v>142</v>
      </c>
      <c r="E228" s="11" t="s">
        <v>14</v>
      </c>
      <c r="F228" s="23" t="s">
        <v>755</v>
      </c>
      <c r="G228" s="31" t="s">
        <v>806</v>
      </c>
      <c r="H228" s="11">
        <v>5</v>
      </c>
      <c r="I228" s="24">
        <v>47</v>
      </c>
      <c r="J228" s="24">
        <v>235</v>
      </c>
      <c r="K228" s="11" t="s">
        <v>25</v>
      </c>
      <c r="L228" s="19"/>
      <c r="M228" s="11" t="s">
        <v>18</v>
      </c>
    </row>
    <row r="229" spans="2:13" s="15" customFormat="1" ht="15" customHeight="1" x14ac:dyDescent="0.25">
      <c r="B229" s="25" t="s">
        <v>807</v>
      </c>
      <c r="C229" s="26">
        <v>45342</v>
      </c>
      <c r="D229" s="23" t="s">
        <v>203</v>
      </c>
      <c r="E229" s="11" t="s">
        <v>14</v>
      </c>
      <c r="F229" s="23" t="s">
        <v>207</v>
      </c>
      <c r="G229" t="s">
        <v>808</v>
      </c>
      <c r="H229" s="11">
        <v>39</v>
      </c>
      <c r="I229" s="24">
        <v>175.5</v>
      </c>
      <c r="J229" s="24">
        <v>1419</v>
      </c>
      <c r="K229" s="11" t="s">
        <v>17</v>
      </c>
      <c r="L229" s="19" t="s">
        <v>809</v>
      </c>
      <c r="M229" s="11" t="s">
        <v>31</v>
      </c>
    </row>
    <row r="230" spans="2:13" s="15" customFormat="1" ht="15" customHeight="1" x14ac:dyDescent="0.25">
      <c r="B230" s="25" t="s">
        <v>810</v>
      </c>
      <c r="C230" s="26">
        <v>45342</v>
      </c>
      <c r="D230" s="23" t="s">
        <v>44</v>
      </c>
      <c r="E230" s="11" t="s">
        <v>14</v>
      </c>
      <c r="F230" s="23" t="s">
        <v>22</v>
      </c>
      <c r="G230" s="23" t="s">
        <v>811</v>
      </c>
      <c r="H230" s="11">
        <v>250</v>
      </c>
      <c r="I230" s="24">
        <v>1.24</v>
      </c>
      <c r="J230" s="24">
        <v>310</v>
      </c>
      <c r="K230" s="11" t="s">
        <v>17</v>
      </c>
      <c r="L230" s="19" t="s">
        <v>812</v>
      </c>
      <c r="M230" s="11" t="s">
        <v>31</v>
      </c>
    </row>
    <row r="231" spans="2:13" s="15" customFormat="1" ht="15" customHeight="1" x14ac:dyDescent="0.25">
      <c r="B231" s="25" t="s">
        <v>813</v>
      </c>
      <c r="C231" s="26">
        <v>45342</v>
      </c>
      <c r="D231" s="23" t="s">
        <v>814</v>
      </c>
      <c r="E231" s="11" t="s">
        <v>21</v>
      </c>
      <c r="F231" s="23" t="s">
        <v>66</v>
      </c>
      <c r="G231" s="31" t="s">
        <v>815</v>
      </c>
      <c r="H231" s="11">
        <v>295</v>
      </c>
      <c r="I231" s="24">
        <v>23.25</v>
      </c>
      <c r="J231" s="24">
        <v>6858.75</v>
      </c>
      <c r="K231" s="11" t="s">
        <v>17</v>
      </c>
      <c r="L231" s="19"/>
      <c r="M231" s="11" t="s">
        <v>18</v>
      </c>
    </row>
    <row r="232" spans="2:13" s="15" customFormat="1" ht="15" customHeight="1" x14ac:dyDescent="0.25">
      <c r="B232" s="25" t="s">
        <v>816</v>
      </c>
      <c r="C232" s="26">
        <v>45342</v>
      </c>
      <c r="D232" s="23" t="s">
        <v>817</v>
      </c>
      <c r="E232" s="11" t="s">
        <v>14</v>
      </c>
      <c r="F232" s="23" t="s">
        <v>818</v>
      </c>
      <c r="G232" s="23" t="s">
        <v>819</v>
      </c>
      <c r="H232" s="11">
        <v>100</v>
      </c>
      <c r="I232" s="24">
        <v>16.850000000000001</v>
      </c>
      <c r="J232" s="24">
        <v>1685</v>
      </c>
      <c r="K232" s="11" t="s">
        <v>17</v>
      </c>
      <c r="L232" s="19"/>
      <c r="M232" s="11" t="s">
        <v>18</v>
      </c>
    </row>
    <row r="233" spans="2:13" s="15" customFormat="1" ht="15" customHeight="1" x14ac:dyDescent="0.25">
      <c r="B233" s="25" t="s">
        <v>820</v>
      </c>
      <c r="C233" s="26">
        <v>45344</v>
      </c>
      <c r="D233" s="23" t="s">
        <v>821</v>
      </c>
      <c r="E233" s="11" t="s">
        <v>14</v>
      </c>
      <c r="F233" s="23" t="s">
        <v>822</v>
      </c>
      <c r="G233" s="31" t="s">
        <v>823</v>
      </c>
      <c r="H233" s="11">
        <v>2</v>
      </c>
      <c r="I233" s="24">
        <v>145</v>
      </c>
      <c r="J233" s="24">
        <v>390</v>
      </c>
      <c r="K233" s="11" t="s">
        <v>17</v>
      </c>
      <c r="L233" s="19" t="s">
        <v>824</v>
      </c>
      <c r="M233" s="11" t="s">
        <v>31</v>
      </c>
    </row>
    <row r="234" spans="2:13" s="15" customFormat="1" ht="15" customHeight="1" x14ac:dyDescent="0.25">
      <c r="B234" s="25" t="s">
        <v>825</v>
      </c>
      <c r="C234" s="26">
        <v>45343</v>
      </c>
      <c r="D234" s="23" t="s">
        <v>826</v>
      </c>
      <c r="E234" s="11" t="s">
        <v>21</v>
      </c>
      <c r="F234" s="23" t="s">
        <v>827</v>
      </c>
      <c r="G234" s="31" t="s">
        <v>828</v>
      </c>
      <c r="H234" s="11">
        <v>2</v>
      </c>
      <c r="I234" s="24">
        <v>187.5</v>
      </c>
      <c r="J234" s="24">
        <v>550</v>
      </c>
      <c r="K234" s="11" t="s">
        <v>17</v>
      </c>
      <c r="L234" s="19"/>
      <c r="M234" s="11" t="s">
        <v>18</v>
      </c>
    </row>
    <row r="235" spans="2:13" s="15" customFormat="1" ht="15" customHeight="1" x14ac:dyDescent="0.25">
      <c r="B235" s="25" t="s">
        <v>829</v>
      </c>
      <c r="C235" s="26">
        <v>45343</v>
      </c>
      <c r="D235" s="23" t="s">
        <v>352</v>
      </c>
      <c r="E235" s="11" t="s">
        <v>14</v>
      </c>
      <c r="F235" s="23" t="s">
        <v>830</v>
      </c>
      <c r="G235" s="31" t="s">
        <v>831</v>
      </c>
      <c r="H235" s="11">
        <v>102</v>
      </c>
      <c r="I235" s="24">
        <v>187.45</v>
      </c>
      <c r="J235" s="24">
        <v>1595</v>
      </c>
      <c r="K235" s="11" t="s">
        <v>17</v>
      </c>
      <c r="L235" s="19"/>
      <c r="M235" s="11" t="s">
        <v>18</v>
      </c>
    </row>
    <row r="236" spans="2:13" s="15" customFormat="1" ht="15" customHeight="1" x14ac:dyDescent="0.25">
      <c r="B236" s="25" t="s">
        <v>832</v>
      </c>
      <c r="C236" s="26">
        <v>45343</v>
      </c>
      <c r="D236" s="23" t="s">
        <v>241</v>
      </c>
      <c r="E236" s="11" t="s">
        <v>14</v>
      </c>
      <c r="F236" s="23" t="s">
        <v>833</v>
      </c>
      <c r="G236" s="23" t="s">
        <v>397</v>
      </c>
      <c r="H236" s="11">
        <v>500</v>
      </c>
      <c r="I236" s="24">
        <v>0.81</v>
      </c>
      <c r="J236" s="24">
        <v>405</v>
      </c>
      <c r="K236" s="11" t="s">
        <v>17</v>
      </c>
      <c r="L236" s="19" t="s">
        <v>834</v>
      </c>
      <c r="M236" s="11" t="s">
        <v>31</v>
      </c>
    </row>
    <row r="237" spans="2:13" s="15" customFormat="1" ht="15" customHeight="1" x14ac:dyDescent="0.25">
      <c r="B237" s="25" t="s">
        <v>835</v>
      </c>
      <c r="C237" s="26">
        <v>45343</v>
      </c>
      <c r="D237" s="23" t="s">
        <v>181</v>
      </c>
      <c r="E237" s="11" t="s">
        <v>14</v>
      </c>
      <c r="F237" s="23" t="s">
        <v>22</v>
      </c>
      <c r="G237" s="23" t="s">
        <v>191</v>
      </c>
      <c r="H237" s="11">
        <v>3500</v>
      </c>
      <c r="I237" s="24">
        <v>1.31</v>
      </c>
      <c r="J237" s="24">
        <v>2030</v>
      </c>
      <c r="K237" s="11" t="s">
        <v>25</v>
      </c>
      <c r="L237" s="19"/>
      <c r="M237" s="11" t="s">
        <v>18</v>
      </c>
    </row>
    <row r="238" spans="2:13" s="15" customFormat="1" ht="15" customHeight="1" x14ac:dyDescent="0.25">
      <c r="B238" s="25" t="s">
        <v>836</v>
      </c>
      <c r="C238" s="26">
        <v>45344</v>
      </c>
      <c r="D238" s="23" t="s">
        <v>221</v>
      </c>
      <c r="E238" s="11" t="s">
        <v>14</v>
      </c>
      <c r="F238" s="23" t="s">
        <v>837</v>
      </c>
      <c r="G238" s="23" t="s">
        <v>838</v>
      </c>
      <c r="H238" s="11">
        <v>410</v>
      </c>
      <c r="I238" s="24">
        <v>124.35</v>
      </c>
      <c r="J238" s="24">
        <v>3680</v>
      </c>
      <c r="K238" s="11" t="s">
        <v>17</v>
      </c>
      <c r="L238" s="19" t="s">
        <v>839</v>
      </c>
      <c r="M238" s="11" t="s">
        <v>31</v>
      </c>
    </row>
    <row r="239" spans="2:13" s="15" customFormat="1" ht="15" customHeight="1" x14ac:dyDescent="0.25">
      <c r="B239" s="25" t="s">
        <v>840</v>
      </c>
      <c r="C239" s="26">
        <v>45344</v>
      </c>
      <c r="D239" s="23" t="s">
        <v>463</v>
      </c>
      <c r="E239" s="11" t="s">
        <v>14</v>
      </c>
      <c r="F239" s="23" t="s">
        <v>468</v>
      </c>
      <c r="G239" s="23" t="s">
        <v>841</v>
      </c>
      <c r="H239" s="11">
        <v>9</v>
      </c>
      <c r="I239" s="24">
        <v>350</v>
      </c>
      <c r="J239" s="24">
        <v>3150</v>
      </c>
      <c r="K239" s="11" t="s">
        <v>17</v>
      </c>
      <c r="L239" s="19" t="s">
        <v>428</v>
      </c>
      <c r="M239" s="11" t="s">
        <v>31</v>
      </c>
    </row>
    <row r="240" spans="2:13" s="46" customFormat="1" ht="15" customHeight="1" x14ac:dyDescent="0.25">
      <c r="B240" s="25" t="s">
        <v>842</v>
      </c>
      <c r="C240" s="26">
        <v>45344</v>
      </c>
      <c r="D240" s="47" t="s">
        <v>98</v>
      </c>
      <c r="E240" s="11" t="s">
        <v>14</v>
      </c>
      <c r="F240" s="47" t="s">
        <v>721</v>
      </c>
      <c r="G240" s="23" t="s">
        <v>722</v>
      </c>
      <c r="H240" s="45">
        <v>1</v>
      </c>
      <c r="I240" s="55">
        <v>3150</v>
      </c>
      <c r="J240" s="55">
        <v>3150</v>
      </c>
      <c r="K240" s="11" t="s">
        <v>25</v>
      </c>
      <c r="L240" s="56" t="s">
        <v>843</v>
      </c>
      <c r="M240" s="11" t="s">
        <v>31</v>
      </c>
    </row>
    <row r="241" spans="2:13" s="15" customFormat="1" ht="15" customHeight="1" x14ac:dyDescent="0.25">
      <c r="B241" s="25" t="s">
        <v>844</v>
      </c>
      <c r="C241" s="26">
        <v>45344</v>
      </c>
      <c r="D241" s="23" t="s">
        <v>305</v>
      </c>
      <c r="E241" s="11" t="s">
        <v>14</v>
      </c>
      <c r="F241" s="47" t="s">
        <v>721</v>
      </c>
      <c r="G241" s="23" t="s">
        <v>722</v>
      </c>
      <c r="H241" s="11">
        <v>1</v>
      </c>
      <c r="I241" s="24">
        <v>3150</v>
      </c>
      <c r="J241" s="24">
        <v>3150</v>
      </c>
      <c r="K241" s="11" t="s">
        <v>25</v>
      </c>
      <c r="L241" s="19" t="s">
        <v>845</v>
      </c>
      <c r="M241" s="11" t="s">
        <v>31</v>
      </c>
    </row>
    <row r="242" spans="2:13" s="15" customFormat="1" ht="15" customHeight="1" x14ac:dyDescent="0.25">
      <c r="B242" s="25" t="s">
        <v>846</v>
      </c>
      <c r="C242" s="26">
        <v>45344</v>
      </c>
      <c r="D242" s="23" t="s">
        <v>302</v>
      </c>
      <c r="E242" s="11" t="s">
        <v>14</v>
      </c>
      <c r="F242" s="47" t="s">
        <v>721</v>
      </c>
      <c r="G242" s="23" t="s">
        <v>722</v>
      </c>
      <c r="H242" s="11">
        <v>1</v>
      </c>
      <c r="I242" s="24">
        <v>3150</v>
      </c>
      <c r="J242" s="24">
        <v>3150</v>
      </c>
      <c r="K242" s="11" t="s">
        <v>25</v>
      </c>
      <c r="L242" s="19" t="s">
        <v>847</v>
      </c>
      <c r="M242" s="11" t="s">
        <v>31</v>
      </c>
    </row>
    <row r="243" spans="2:13" s="15" customFormat="1" ht="15" customHeight="1" x14ac:dyDescent="0.25">
      <c r="B243" s="25" t="s">
        <v>848</v>
      </c>
      <c r="C243" s="26">
        <v>45344</v>
      </c>
      <c r="D243" s="23" t="s">
        <v>203</v>
      </c>
      <c r="E243" s="11" t="s">
        <v>14</v>
      </c>
      <c r="F243" s="23" t="s">
        <v>849</v>
      </c>
      <c r="G243" s="23" t="s">
        <v>850</v>
      </c>
      <c r="H243" s="11">
        <v>272</v>
      </c>
      <c r="I243" s="24">
        <v>2.7</v>
      </c>
      <c r="J243" s="24">
        <v>380</v>
      </c>
      <c r="K243" s="11" t="s">
        <v>17</v>
      </c>
      <c r="L243" s="19" t="s">
        <v>851</v>
      </c>
      <c r="M243" s="11" t="s">
        <v>31</v>
      </c>
    </row>
    <row r="244" spans="2:13" s="15" customFormat="1" ht="15" customHeight="1" x14ac:dyDescent="0.25">
      <c r="B244" s="25" t="s">
        <v>852</v>
      </c>
      <c r="C244" s="26">
        <v>45344</v>
      </c>
      <c r="D244" s="23" t="s">
        <v>429</v>
      </c>
      <c r="E244" s="11" t="s">
        <v>14</v>
      </c>
      <c r="F244" s="23" t="s">
        <v>853</v>
      </c>
      <c r="G244" s="23" t="s">
        <v>854</v>
      </c>
      <c r="H244" s="11">
        <v>1</v>
      </c>
      <c r="I244" s="24">
        <v>225</v>
      </c>
      <c r="J244" s="24">
        <v>225</v>
      </c>
      <c r="K244" s="11" t="s">
        <v>25</v>
      </c>
      <c r="L244" s="19" t="s">
        <v>420</v>
      </c>
      <c r="M244" s="11" t="s">
        <v>31</v>
      </c>
    </row>
    <row r="245" spans="2:13" s="15" customFormat="1" ht="15" customHeight="1" x14ac:dyDescent="0.25">
      <c r="B245" s="25" t="s">
        <v>855</v>
      </c>
      <c r="C245" s="26">
        <v>45345</v>
      </c>
      <c r="D245" s="23" t="s">
        <v>203</v>
      </c>
      <c r="E245" s="11" t="s">
        <v>14</v>
      </c>
      <c r="F245" s="23" t="s">
        <v>856</v>
      </c>
      <c r="G245" s="23" t="s">
        <v>152</v>
      </c>
      <c r="H245" s="11">
        <v>1800</v>
      </c>
      <c r="I245" s="24">
        <v>0.4</v>
      </c>
      <c r="J245" s="24">
        <v>720</v>
      </c>
      <c r="K245" s="11" t="s">
        <v>17</v>
      </c>
      <c r="L245" s="19" t="s">
        <v>857</v>
      </c>
      <c r="M245" s="11" t="s">
        <v>31</v>
      </c>
    </row>
    <row r="246" spans="2:13" s="15" customFormat="1" ht="18.75" customHeight="1" x14ac:dyDescent="0.25">
      <c r="B246" s="25" t="s">
        <v>858</v>
      </c>
      <c r="C246" s="26">
        <v>45345</v>
      </c>
      <c r="D246" s="43" t="s">
        <v>203</v>
      </c>
      <c r="E246" s="25" t="s">
        <v>14</v>
      </c>
      <c r="F246" s="43" t="s">
        <v>859</v>
      </c>
      <c r="G246" s="44" t="s">
        <v>860</v>
      </c>
      <c r="H246" s="25">
        <v>391</v>
      </c>
      <c r="I246" s="29">
        <v>1249.7</v>
      </c>
      <c r="J246" s="29">
        <v>7142.1</v>
      </c>
      <c r="K246" s="25" t="s">
        <v>17</v>
      </c>
      <c r="L246" s="25" t="s">
        <v>861</v>
      </c>
      <c r="M246" s="25" t="s">
        <v>31</v>
      </c>
    </row>
    <row r="247" spans="2:13" s="15" customFormat="1" ht="15" customHeight="1" x14ac:dyDescent="0.25">
      <c r="B247" s="25" t="s">
        <v>862</v>
      </c>
      <c r="C247" s="26">
        <v>45345</v>
      </c>
      <c r="D247" s="43" t="s">
        <v>863</v>
      </c>
      <c r="E247" s="11" t="s">
        <v>14</v>
      </c>
      <c r="F247" s="23" t="s">
        <v>856</v>
      </c>
      <c r="G247" s="31" t="s">
        <v>864</v>
      </c>
      <c r="H247" s="11">
        <v>2400</v>
      </c>
      <c r="I247" s="13">
        <v>0.4</v>
      </c>
      <c r="J247" s="24">
        <v>960</v>
      </c>
      <c r="K247" s="11" t="s">
        <v>17</v>
      </c>
      <c r="L247" s="19" t="s">
        <v>442</v>
      </c>
      <c r="M247" s="11" t="s">
        <v>31</v>
      </c>
    </row>
    <row r="248" spans="2:13" s="15" customFormat="1" ht="15" customHeight="1" x14ac:dyDescent="0.25">
      <c r="B248" s="25" t="s">
        <v>865</v>
      </c>
      <c r="C248" s="26">
        <v>45464</v>
      </c>
      <c r="D248" s="23" t="s">
        <v>821</v>
      </c>
      <c r="E248" s="11" t="s">
        <v>14</v>
      </c>
      <c r="F248" s="23" t="s">
        <v>866</v>
      </c>
      <c r="G248" s="23" t="s">
        <v>867</v>
      </c>
      <c r="H248" s="11">
        <v>125</v>
      </c>
      <c r="I248" s="24">
        <v>98.25</v>
      </c>
      <c r="J248" s="24">
        <v>12576</v>
      </c>
      <c r="K248" s="11" t="s">
        <v>17</v>
      </c>
      <c r="L248" s="19" t="s">
        <v>868</v>
      </c>
      <c r="M248" s="11" t="s">
        <v>31</v>
      </c>
    </row>
    <row r="249" spans="2:13" s="15" customFormat="1" ht="32.25" customHeight="1" x14ac:dyDescent="0.25">
      <c r="B249" s="25" t="s">
        <v>869</v>
      </c>
      <c r="C249" s="26">
        <v>45345</v>
      </c>
      <c r="D249" s="43" t="s">
        <v>601</v>
      </c>
      <c r="E249" s="25" t="s">
        <v>14</v>
      </c>
      <c r="F249" s="44" t="s">
        <v>870</v>
      </c>
      <c r="G249" s="43" t="s">
        <v>871</v>
      </c>
      <c r="H249" s="25">
        <v>160</v>
      </c>
      <c r="I249" s="29">
        <v>383.5</v>
      </c>
      <c r="J249" s="29">
        <v>7670</v>
      </c>
      <c r="K249" s="25" t="s">
        <v>25</v>
      </c>
      <c r="L249" s="25"/>
      <c r="M249" s="25" t="s">
        <v>18</v>
      </c>
    </row>
    <row r="250" spans="2:13" s="15" customFormat="1" ht="15" customHeight="1" x14ac:dyDescent="0.25">
      <c r="B250" s="25" t="s">
        <v>872</v>
      </c>
      <c r="C250" s="26">
        <v>45348</v>
      </c>
      <c r="D250" s="23" t="s">
        <v>873</v>
      </c>
      <c r="E250" s="11" t="s">
        <v>21</v>
      </c>
      <c r="F250" s="23" t="s">
        <v>874</v>
      </c>
      <c r="G250" s="23" t="s">
        <v>875</v>
      </c>
      <c r="H250" s="11">
        <v>1</v>
      </c>
      <c r="I250" s="24">
        <v>1850</v>
      </c>
      <c r="J250" s="24">
        <v>1850</v>
      </c>
      <c r="K250" s="11" t="s">
        <v>17</v>
      </c>
      <c r="L250" s="19"/>
      <c r="M250" s="11" t="s">
        <v>18</v>
      </c>
    </row>
    <row r="251" spans="2:13" s="15" customFormat="1" ht="15" customHeight="1" x14ac:dyDescent="0.25">
      <c r="B251" s="25" t="s">
        <v>876</v>
      </c>
      <c r="C251" s="26">
        <v>45348</v>
      </c>
      <c r="D251" s="23" t="s">
        <v>622</v>
      </c>
      <c r="E251" s="11" t="s">
        <v>14</v>
      </c>
      <c r="F251" s="23" t="s">
        <v>877</v>
      </c>
      <c r="G251" s="23" t="s">
        <v>878</v>
      </c>
      <c r="H251" s="11">
        <v>40</v>
      </c>
      <c r="I251" s="24">
        <v>47.25</v>
      </c>
      <c r="J251" s="24">
        <f>I251*H251</f>
        <v>1890</v>
      </c>
      <c r="K251" s="11" t="s">
        <v>17</v>
      </c>
      <c r="L251" s="19" t="s">
        <v>502</v>
      </c>
      <c r="M251" s="11" t="s">
        <v>31</v>
      </c>
    </row>
    <row r="252" spans="2:13" s="15" customFormat="1" ht="15" customHeight="1" x14ac:dyDescent="0.25">
      <c r="B252" s="25" t="s">
        <v>879</v>
      </c>
      <c r="C252" s="26">
        <v>45348</v>
      </c>
      <c r="D252" s="23" t="s">
        <v>880</v>
      </c>
      <c r="E252" s="11" t="s">
        <v>21</v>
      </c>
      <c r="F252" s="23" t="s">
        <v>881</v>
      </c>
      <c r="G252" s="31" t="s">
        <v>882</v>
      </c>
      <c r="H252" s="11">
        <v>100</v>
      </c>
      <c r="I252" s="24">
        <v>12.85</v>
      </c>
      <c r="J252" s="24">
        <v>1285</v>
      </c>
      <c r="K252" s="11" t="s">
        <v>17</v>
      </c>
      <c r="L252" s="19"/>
      <c r="M252" s="11" t="s">
        <v>18</v>
      </c>
    </row>
    <row r="253" spans="2:13" s="15" customFormat="1" ht="15" customHeight="1" x14ac:dyDescent="0.25">
      <c r="B253" s="25" t="s">
        <v>883</v>
      </c>
      <c r="C253" s="26">
        <v>45348</v>
      </c>
      <c r="D253" s="23" t="s">
        <v>884</v>
      </c>
      <c r="E253" s="11" t="s">
        <v>21</v>
      </c>
      <c r="F253" s="23" t="s">
        <v>885</v>
      </c>
      <c r="G253" s="31" t="s">
        <v>886</v>
      </c>
      <c r="H253" s="11">
        <v>1000</v>
      </c>
      <c r="I253" s="42">
        <v>1.7250000000000001</v>
      </c>
      <c r="J253" s="24">
        <v>1725</v>
      </c>
      <c r="K253" s="11" t="s">
        <v>17</v>
      </c>
      <c r="L253" s="19" t="s">
        <v>470</v>
      </c>
      <c r="M253" s="11" t="s">
        <v>31</v>
      </c>
    </row>
    <row r="254" spans="2:13" s="15" customFormat="1" ht="15" customHeight="1" x14ac:dyDescent="0.25">
      <c r="B254" s="25" t="s">
        <v>887</v>
      </c>
      <c r="C254" s="26">
        <v>45349</v>
      </c>
      <c r="D254" s="23" t="s">
        <v>888</v>
      </c>
      <c r="E254" s="11" t="s">
        <v>14</v>
      </c>
      <c r="F254" s="23" t="s">
        <v>889</v>
      </c>
      <c r="G254" s="23" t="s">
        <v>440</v>
      </c>
      <c r="H254" s="11">
        <v>20</v>
      </c>
      <c r="I254" s="24">
        <v>19</v>
      </c>
      <c r="J254" s="24">
        <v>380</v>
      </c>
      <c r="K254" s="11" t="s">
        <v>25</v>
      </c>
      <c r="L254" s="19"/>
      <c r="M254" s="11" t="s">
        <v>31</v>
      </c>
    </row>
    <row r="255" spans="2:13" s="15" customFormat="1" ht="15" customHeight="1" x14ac:dyDescent="0.25">
      <c r="B255" s="25" t="s">
        <v>890</v>
      </c>
      <c r="C255" s="26">
        <v>45349</v>
      </c>
      <c r="D255" s="23" t="s">
        <v>381</v>
      </c>
      <c r="E255" s="11" t="s">
        <v>14</v>
      </c>
      <c r="F255" s="23" t="s">
        <v>891</v>
      </c>
      <c r="G255" s="23" t="s">
        <v>892</v>
      </c>
      <c r="H255" s="11">
        <v>120</v>
      </c>
      <c r="I255" s="24">
        <v>13.5</v>
      </c>
      <c r="J255" s="24">
        <v>1620</v>
      </c>
      <c r="K255" s="11" t="s">
        <v>25</v>
      </c>
      <c r="L255" s="19"/>
      <c r="M255" s="11" t="s">
        <v>18</v>
      </c>
    </row>
    <row r="256" spans="2:13" s="15" customFormat="1" ht="15" customHeight="1" x14ac:dyDescent="0.25">
      <c r="B256" s="25" t="s">
        <v>893</v>
      </c>
      <c r="C256" s="26">
        <v>45349</v>
      </c>
      <c r="D256" s="23" t="s">
        <v>642</v>
      </c>
      <c r="E256" s="11" t="s">
        <v>14</v>
      </c>
      <c r="F256" s="23" t="s">
        <v>894</v>
      </c>
      <c r="G256" s="23" t="s">
        <v>895</v>
      </c>
      <c r="H256" s="11">
        <v>90</v>
      </c>
      <c r="I256" s="24">
        <v>27.5</v>
      </c>
      <c r="J256" s="24">
        <v>1162.5</v>
      </c>
      <c r="K256" s="11" t="s">
        <v>17</v>
      </c>
      <c r="L256" s="19" t="s">
        <v>510</v>
      </c>
      <c r="M256" s="11" t="s">
        <v>31</v>
      </c>
    </row>
    <row r="257" spans="2:13" s="15" customFormat="1" ht="15" customHeight="1" x14ac:dyDescent="0.25">
      <c r="B257" s="25" t="s">
        <v>896</v>
      </c>
      <c r="C257" s="26">
        <v>45350</v>
      </c>
      <c r="D257" s="23" t="s">
        <v>880</v>
      </c>
      <c r="E257" s="11" t="s">
        <v>14</v>
      </c>
      <c r="F257" s="23" t="s">
        <v>897</v>
      </c>
      <c r="G257" s="31" t="s">
        <v>898</v>
      </c>
      <c r="H257" s="11">
        <v>40</v>
      </c>
      <c r="I257" s="24">
        <v>9.5</v>
      </c>
      <c r="J257" s="24">
        <v>380</v>
      </c>
      <c r="K257" s="11" t="s">
        <v>17</v>
      </c>
      <c r="L257" s="19"/>
      <c r="M257" s="11" t="s">
        <v>18</v>
      </c>
    </row>
    <row r="258" spans="2:13" s="15" customFormat="1" ht="15" customHeight="1" x14ac:dyDescent="0.25">
      <c r="B258" s="11" t="s">
        <v>899</v>
      </c>
      <c r="C258" s="26">
        <v>45363</v>
      </c>
      <c r="D258" s="23" t="s">
        <v>40</v>
      </c>
      <c r="E258" s="11" t="s">
        <v>14</v>
      </c>
      <c r="F258" s="23" t="s">
        <v>900</v>
      </c>
      <c r="G258" s="57"/>
      <c r="H258" s="11" t="s">
        <v>901</v>
      </c>
      <c r="I258" s="24">
        <v>8.1</v>
      </c>
      <c r="J258" s="24">
        <v>810</v>
      </c>
      <c r="K258" s="11" t="s">
        <v>25</v>
      </c>
      <c r="L258" s="19"/>
      <c r="M258" s="11" t="s">
        <v>18</v>
      </c>
    </row>
    <row r="259" spans="2:13" s="15" customFormat="1" ht="15" customHeight="1" x14ac:dyDescent="0.25">
      <c r="B259" s="25" t="s">
        <v>902</v>
      </c>
      <c r="C259" s="26">
        <v>45350</v>
      </c>
      <c r="D259" s="23" t="s">
        <v>903</v>
      </c>
      <c r="E259" s="11" t="s">
        <v>21</v>
      </c>
      <c r="F259" s="23" t="s">
        <v>904</v>
      </c>
      <c r="G259" s="23" t="s">
        <v>905</v>
      </c>
      <c r="H259" s="11">
        <v>100</v>
      </c>
      <c r="I259" s="24">
        <v>13.95</v>
      </c>
      <c r="J259" s="24">
        <v>1395</v>
      </c>
      <c r="K259" s="11" t="s">
        <v>25</v>
      </c>
      <c r="L259" s="19"/>
      <c r="M259" s="11" t="s">
        <v>18</v>
      </c>
    </row>
    <row r="260" spans="2:13" s="15" customFormat="1" ht="15" customHeight="1" x14ac:dyDescent="0.25">
      <c r="B260" s="25" t="s">
        <v>906</v>
      </c>
      <c r="C260" s="26">
        <v>45350</v>
      </c>
      <c r="D260" s="23" t="s">
        <v>907</v>
      </c>
      <c r="E260" s="11" t="s">
        <v>21</v>
      </c>
      <c r="F260" s="23" t="s">
        <v>908</v>
      </c>
      <c r="G260" s="31" t="s">
        <v>909</v>
      </c>
      <c r="H260" s="11">
        <v>101</v>
      </c>
      <c r="I260" s="24">
        <v>296.89999999999998</v>
      </c>
      <c r="J260" s="24">
        <v>485</v>
      </c>
      <c r="K260" s="11" t="s">
        <v>17</v>
      </c>
      <c r="L260" s="19" t="s">
        <v>498</v>
      </c>
      <c r="M260" s="11" t="s">
        <v>31</v>
      </c>
    </row>
    <row r="261" spans="2:13" s="15" customFormat="1" ht="15" customHeight="1" x14ac:dyDescent="0.25">
      <c r="B261" s="25" t="s">
        <v>910</v>
      </c>
      <c r="C261" s="26">
        <v>45350</v>
      </c>
      <c r="D261" s="23" t="s">
        <v>574</v>
      </c>
      <c r="E261" s="11" t="s">
        <v>14</v>
      </c>
      <c r="F261" s="23" t="s">
        <v>911</v>
      </c>
      <c r="G261" s="31" t="s">
        <v>912</v>
      </c>
      <c r="H261" s="11">
        <v>500</v>
      </c>
      <c r="I261" s="24">
        <v>15.95</v>
      </c>
      <c r="J261" s="24">
        <v>7975</v>
      </c>
      <c r="K261" s="11" t="s">
        <v>17</v>
      </c>
      <c r="L261" s="19"/>
      <c r="M261" s="11" t="s">
        <v>18</v>
      </c>
    </row>
    <row r="262" spans="2:13" s="15" customFormat="1" ht="15" customHeight="1" x14ac:dyDescent="0.25">
      <c r="B262" s="25" t="s">
        <v>913</v>
      </c>
      <c r="C262" s="26">
        <v>45350</v>
      </c>
      <c r="D262" s="23" t="s">
        <v>203</v>
      </c>
      <c r="E262" s="11" t="s">
        <v>14</v>
      </c>
      <c r="F262" s="23" t="s">
        <v>914</v>
      </c>
      <c r="G262" s="23" t="s">
        <v>915</v>
      </c>
      <c r="H262" s="11">
        <v>58</v>
      </c>
      <c r="I262" s="24">
        <v>13.75</v>
      </c>
      <c r="J262" s="24">
        <v>797.5</v>
      </c>
      <c r="K262" s="11" t="s">
        <v>17</v>
      </c>
      <c r="L262" s="19"/>
      <c r="M262" s="11" t="s">
        <v>18</v>
      </c>
    </row>
    <row r="263" spans="2:13" s="15" customFormat="1" ht="15" customHeight="1" x14ac:dyDescent="0.25">
      <c r="B263" s="25" t="s">
        <v>916</v>
      </c>
      <c r="C263" s="26">
        <v>45350</v>
      </c>
      <c r="D263" s="23" t="s">
        <v>130</v>
      </c>
      <c r="E263" s="11" t="s">
        <v>14</v>
      </c>
      <c r="F263" s="23" t="s">
        <v>917</v>
      </c>
      <c r="G263" s="23" t="s">
        <v>918</v>
      </c>
      <c r="H263" s="11">
        <v>1000</v>
      </c>
      <c r="I263" s="24">
        <v>0.54</v>
      </c>
      <c r="J263" s="24">
        <v>540</v>
      </c>
      <c r="K263" s="11" t="s">
        <v>17</v>
      </c>
      <c r="L263" s="19" t="s">
        <v>554</v>
      </c>
      <c r="M263" s="11" t="s">
        <v>31</v>
      </c>
    </row>
    <row r="264" spans="2:13" s="15" customFormat="1" ht="15" customHeight="1" x14ac:dyDescent="0.25">
      <c r="B264" s="25" t="s">
        <v>919</v>
      </c>
      <c r="C264" s="26">
        <v>45350</v>
      </c>
      <c r="D264" s="23" t="s">
        <v>660</v>
      </c>
      <c r="E264" s="11" t="s">
        <v>14</v>
      </c>
      <c r="F264" s="23" t="s">
        <v>393</v>
      </c>
      <c r="G264" s="23" t="s">
        <v>920</v>
      </c>
      <c r="H264" s="11">
        <v>500</v>
      </c>
      <c r="I264" s="24">
        <v>6.95</v>
      </c>
      <c r="J264" s="24">
        <v>3475</v>
      </c>
      <c r="K264" s="11" t="s">
        <v>25</v>
      </c>
      <c r="L264" s="19"/>
      <c r="M264" s="11" t="s">
        <v>18</v>
      </c>
    </row>
    <row r="265" spans="2:13" s="15" customFormat="1" ht="15" customHeight="1" x14ac:dyDescent="0.25">
      <c r="B265" s="25" t="s">
        <v>921</v>
      </c>
      <c r="C265" s="26">
        <v>45351</v>
      </c>
      <c r="D265" s="31" t="s">
        <v>642</v>
      </c>
      <c r="E265" s="11" t="s">
        <v>14</v>
      </c>
      <c r="F265" s="23" t="s">
        <v>922</v>
      </c>
      <c r="G265" s="31" t="s">
        <v>397</v>
      </c>
      <c r="H265" s="11">
        <v>100</v>
      </c>
      <c r="I265" s="24">
        <v>2.85</v>
      </c>
      <c r="J265" s="24">
        <v>285</v>
      </c>
      <c r="K265" s="11" t="s">
        <v>17</v>
      </c>
      <c r="L265" s="19"/>
      <c r="M265" s="11" t="s">
        <v>18</v>
      </c>
    </row>
    <row r="266" spans="2:13" s="15" customFormat="1" ht="15" customHeight="1" x14ac:dyDescent="0.25">
      <c r="B266" s="25" t="s">
        <v>923</v>
      </c>
      <c r="C266" s="26">
        <v>45351</v>
      </c>
      <c r="D266" s="23" t="s">
        <v>314</v>
      </c>
      <c r="E266" s="11" t="s">
        <v>14</v>
      </c>
      <c r="F266" s="23" t="s">
        <v>922</v>
      </c>
      <c r="G266" s="23" t="s">
        <v>924</v>
      </c>
      <c r="H266" s="11">
        <v>250</v>
      </c>
      <c r="I266" s="24">
        <v>3.36</v>
      </c>
      <c r="J266" s="24">
        <v>840</v>
      </c>
      <c r="K266" s="11" t="s">
        <v>17</v>
      </c>
      <c r="L266" s="19" t="s">
        <v>550</v>
      </c>
      <c r="M266" s="11" t="s">
        <v>31</v>
      </c>
    </row>
    <row r="267" spans="2:13" s="15" customFormat="1" ht="15" customHeight="1" x14ac:dyDescent="0.25">
      <c r="B267" s="25" t="s">
        <v>925</v>
      </c>
      <c r="C267" s="26">
        <v>45351</v>
      </c>
      <c r="D267" s="23" t="s">
        <v>27</v>
      </c>
      <c r="E267" s="11" t="s">
        <v>14</v>
      </c>
      <c r="F267" s="23" t="s">
        <v>511</v>
      </c>
      <c r="G267" s="23" t="s">
        <v>512</v>
      </c>
      <c r="H267" s="11">
        <v>300</v>
      </c>
      <c r="I267" s="24">
        <v>0.91</v>
      </c>
      <c r="J267" s="24">
        <v>275</v>
      </c>
      <c r="K267" s="11" t="s">
        <v>17</v>
      </c>
      <c r="L267" s="19" t="s">
        <v>528</v>
      </c>
      <c r="M267" s="11" t="s">
        <v>31</v>
      </c>
    </row>
    <row r="268" spans="2:13" s="15" customFormat="1" ht="15" customHeight="1" x14ac:dyDescent="0.25">
      <c r="B268" s="25" t="s">
        <v>926</v>
      </c>
      <c r="C268" s="26">
        <v>45351</v>
      </c>
      <c r="D268" s="23" t="s">
        <v>927</v>
      </c>
      <c r="E268" s="11" t="s">
        <v>14</v>
      </c>
      <c r="F268" s="23" t="s">
        <v>928</v>
      </c>
      <c r="G268" s="23" t="s">
        <v>929</v>
      </c>
      <c r="H268" s="11">
        <v>100</v>
      </c>
      <c r="I268" s="24">
        <v>28</v>
      </c>
      <c r="J268" s="24">
        <v>2800</v>
      </c>
      <c r="K268" s="11" t="s">
        <v>25</v>
      </c>
      <c r="L268" s="19"/>
      <c r="M268" s="11" t="s">
        <v>18</v>
      </c>
    </row>
    <row r="269" spans="2:13" s="15" customFormat="1" ht="15" customHeight="1" x14ac:dyDescent="0.25">
      <c r="B269" s="25" t="s">
        <v>930</v>
      </c>
      <c r="C269" s="26">
        <v>45351</v>
      </c>
      <c r="D269" s="23" t="s">
        <v>931</v>
      </c>
      <c r="E269" s="11" t="s">
        <v>14</v>
      </c>
      <c r="F269" s="23" t="s">
        <v>932</v>
      </c>
      <c r="G269" s="23" t="s">
        <v>933</v>
      </c>
      <c r="H269" s="11">
        <v>800</v>
      </c>
      <c r="I269" s="24">
        <v>1.67</v>
      </c>
      <c r="J269" s="24">
        <v>670</v>
      </c>
      <c r="K269" s="11" t="s">
        <v>17</v>
      </c>
      <c r="L269" s="19" t="s">
        <v>934</v>
      </c>
      <c r="M269" s="11" t="s">
        <v>31</v>
      </c>
    </row>
    <row r="270" spans="2:13" s="15" customFormat="1" ht="15" customHeight="1" x14ac:dyDescent="0.25">
      <c r="B270" s="25" t="s">
        <v>935</v>
      </c>
      <c r="C270" s="26">
        <v>45351</v>
      </c>
      <c r="D270" s="23" t="s">
        <v>936</v>
      </c>
      <c r="E270" s="11" t="s">
        <v>14</v>
      </c>
      <c r="F270" s="23" t="s">
        <v>937</v>
      </c>
      <c r="G270" s="23" t="s">
        <v>938</v>
      </c>
      <c r="H270" s="11">
        <v>80</v>
      </c>
      <c r="I270" s="24">
        <v>83.5</v>
      </c>
      <c r="J270" s="24">
        <v>3340</v>
      </c>
      <c r="K270" s="11" t="s">
        <v>25</v>
      </c>
      <c r="L270" s="19"/>
      <c r="M270" s="11" t="s">
        <v>18</v>
      </c>
    </row>
    <row r="271" spans="2:13" s="15" customFormat="1" ht="15" customHeight="1" x14ac:dyDescent="0.25">
      <c r="B271" s="25" t="s">
        <v>939</v>
      </c>
      <c r="C271" s="26">
        <v>45352</v>
      </c>
      <c r="D271" s="23" t="s">
        <v>708</v>
      </c>
      <c r="E271" s="11" t="s">
        <v>14</v>
      </c>
      <c r="F271" s="23" t="s">
        <v>940</v>
      </c>
      <c r="G271" s="23" t="s">
        <v>941</v>
      </c>
      <c r="H271" s="11">
        <v>2200</v>
      </c>
      <c r="I271" s="24">
        <v>26</v>
      </c>
      <c r="J271" s="24">
        <v>20950</v>
      </c>
      <c r="K271" s="11" t="s">
        <v>25</v>
      </c>
      <c r="L271" s="19" t="s">
        <v>942</v>
      </c>
      <c r="M271" s="11" t="s">
        <v>31</v>
      </c>
    </row>
    <row r="272" spans="2:13" s="15" customFormat="1" ht="15" customHeight="1" x14ac:dyDescent="0.25">
      <c r="B272" s="25" t="s">
        <v>943</v>
      </c>
      <c r="C272" s="26">
        <v>45352</v>
      </c>
      <c r="D272" s="23" t="s">
        <v>907</v>
      </c>
      <c r="E272" s="11" t="s">
        <v>14</v>
      </c>
      <c r="F272" s="23" t="s">
        <v>944</v>
      </c>
      <c r="G272" s="23" t="s">
        <v>945</v>
      </c>
      <c r="H272" s="11">
        <v>102</v>
      </c>
      <c r="I272" s="13">
        <v>316.89999999999998</v>
      </c>
      <c r="J272" s="13">
        <v>505</v>
      </c>
      <c r="K272" s="11" t="s">
        <v>17</v>
      </c>
      <c r="L272" s="19" t="s">
        <v>946</v>
      </c>
      <c r="M272" s="11" t="s">
        <v>31</v>
      </c>
    </row>
    <row r="273" spans="2:15" s="15" customFormat="1" ht="15" customHeight="1" x14ac:dyDescent="0.25">
      <c r="B273" s="25" t="s">
        <v>947</v>
      </c>
      <c r="C273" s="26">
        <v>45352</v>
      </c>
      <c r="D273" s="23" t="s">
        <v>241</v>
      </c>
      <c r="E273" s="11" t="s">
        <v>14</v>
      </c>
      <c r="F273" s="23" t="s">
        <v>948</v>
      </c>
      <c r="G273" s="23" t="s">
        <v>397</v>
      </c>
      <c r="H273" s="11">
        <v>500</v>
      </c>
      <c r="I273" s="13">
        <v>0.81</v>
      </c>
      <c r="J273" s="13">
        <v>425</v>
      </c>
      <c r="K273" s="11" t="s">
        <v>17</v>
      </c>
      <c r="L273" s="19" t="s">
        <v>949</v>
      </c>
      <c r="M273" s="11" t="s">
        <v>31</v>
      </c>
    </row>
    <row r="274" spans="2:15" s="15" customFormat="1" ht="15" customHeight="1" x14ac:dyDescent="0.25">
      <c r="B274" s="25" t="s">
        <v>950</v>
      </c>
      <c r="C274" s="26">
        <v>45352</v>
      </c>
      <c r="D274" s="23" t="s">
        <v>654</v>
      </c>
      <c r="E274" s="11" t="s">
        <v>14</v>
      </c>
      <c r="F274" s="23" t="s">
        <v>951</v>
      </c>
      <c r="G274" s="31" t="s">
        <v>952</v>
      </c>
      <c r="H274" s="11">
        <v>40</v>
      </c>
      <c r="I274" s="13">
        <v>28.25</v>
      </c>
      <c r="J274" s="13">
        <v>1130</v>
      </c>
      <c r="K274" s="11" t="s">
        <v>25</v>
      </c>
      <c r="L274" s="19" t="s">
        <v>953</v>
      </c>
      <c r="M274" s="11" t="s">
        <v>31</v>
      </c>
    </row>
    <row r="275" spans="2:15" s="15" customFormat="1" ht="20.25" customHeight="1" x14ac:dyDescent="0.25">
      <c r="B275" s="25" t="s">
        <v>954</v>
      </c>
      <c r="C275" s="26">
        <v>45352</v>
      </c>
      <c r="D275" s="43" t="s">
        <v>203</v>
      </c>
      <c r="E275" s="25" t="s">
        <v>14</v>
      </c>
      <c r="F275" s="44" t="s">
        <v>955</v>
      </c>
      <c r="G275" s="44" t="s">
        <v>956</v>
      </c>
      <c r="H275" s="25">
        <v>3300</v>
      </c>
      <c r="I275" s="30">
        <v>123.89</v>
      </c>
      <c r="J275" s="30">
        <v>19310</v>
      </c>
      <c r="K275" s="25" t="s">
        <v>17</v>
      </c>
      <c r="L275" s="25"/>
      <c r="M275" s="25" t="s">
        <v>18</v>
      </c>
      <c r="O275" s="7"/>
    </row>
    <row r="276" spans="2:15" s="15" customFormat="1" ht="15" customHeight="1" x14ac:dyDescent="0.25">
      <c r="B276" s="11" t="s">
        <v>957</v>
      </c>
      <c r="C276" s="26">
        <v>45357</v>
      </c>
      <c r="D276" s="23" t="s">
        <v>958</v>
      </c>
      <c r="E276" s="11" t="s">
        <v>21</v>
      </c>
      <c r="F276" s="23" t="s">
        <v>959</v>
      </c>
      <c r="G276" s="23" t="s">
        <v>960</v>
      </c>
      <c r="H276" s="11">
        <v>510</v>
      </c>
      <c r="I276" s="13">
        <v>97.25</v>
      </c>
      <c r="J276" s="13">
        <v>12310</v>
      </c>
      <c r="K276" s="11" t="s">
        <v>17</v>
      </c>
      <c r="L276" s="19"/>
      <c r="M276" s="11" t="s">
        <v>18</v>
      </c>
    </row>
    <row r="277" spans="2:15" s="15" customFormat="1" ht="15" customHeight="1" x14ac:dyDescent="0.25">
      <c r="B277" s="11" t="s">
        <v>961</v>
      </c>
      <c r="C277" s="26">
        <v>45353</v>
      </c>
      <c r="D277" s="23" t="s">
        <v>211</v>
      </c>
      <c r="E277" s="11" t="s">
        <v>14</v>
      </c>
      <c r="F277" s="23" t="s">
        <v>962</v>
      </c>
      <c r="G277" s="23" t="s">
        <v>963</v>
      </c>
      <c r="H277" s="11">
        <v>16</v>
      </c>
      <c r="I277" s="13">
        <v>190</v>
      </c>
      <c r="J277" s="13">
        <v>1520</v>
      </c>
      <c r="K277" s="11" t="s">
        <v>25</v>
      </c>
      <c r="L277" s="19"/>
      <c r="M277" s="11" t="s">
        <v>18</v>
      </c>
    </row>
    <row r="278" spans="2:15" s="15" customFormat="1" ht="15" customHeight="1" x14ac:dyDescent="0.25">
      <c r="B278" s="11" t="s">
        <v>964</v>
      </c>
      <c r="C278" s="26">
        <v>45353</v>
      </c>
      <c r="D278" s="23" t="s">
        <v>170</v>
      </c>
      <c r="E278" s="11" t="s">
        <v>14</v>
      </c>
      <c r="F278" s="23" t="s">
        <v>965</v>
      </c>
      <c r="G278" s="23" t="s">
        <v>966</v>
      </c>
      <c r="H278" s="11">
        <v>300</v>
      </c>
      <c r="I278" s="58">
        <v>8.6170000000000009</v>
      </c>
      <c r="J278" s="13">
        <v>2585</v>
      </c>
      <c r="K278" s="11" t="s">
        <v>17</v>
      </c>
      <c r="L278" s="19" t="s">
        <v>967</v>
      </c>
      <c r="M278" s="11" t="s">
        <v>31</v>
      </c>
    </row>
    <row r="279" spans="2:15" s="15" customFormat="1" ht="15" customHeight="1" x14ac:dyDescent="0.25">
      <c r="B279" s="11" t="s">
        <v>968</v>
      </c>
      <c r="C279" s="26">
        <v>45355</v>
      </c>
      <c r="D279" s="23" t="s">
        <v>115</v>
      </c>
      <c r="E279" s="11" t="s">
        <v>14</v>
      </c>
      <c r="F279" s="23" t="s">
        <v>969</v>
      </c>
      <c r="G279" s="23" t="s">
        <v>970</v>
      </c>
      <c r="H279" s="11">
        <v>10</v>
      </c>
      <c r="I279" s="13">
        <v>48</v>
      </c>
      <c r="J279" s="13">
        <v>480</v>
      </c>
      <c r="K279" s="11" t="s">
        <v>25</v>
      </c>
      <c r="L279" s="19"/>
      <c r="M279" s="11" t="s">
        <v>18</v>
      </c>
    </row>
    <row r="280" spans="2:15" s="15" customFormat="1" ht="15" customHeight="1" x14ac:dyDescent="0.25">
      <c r="B280" s="11" t="s">
        <v>971</v>
      </c>
      <c r="C280" s="26">
        <v>45355</v>
      </c>
      <c r="D280" s="23" t="s">
        <v>241</v>
      </c>
      <c r="E280" s="11" t="s">
        <v>14</v>
      </c>
      <c r="F280" s="23" t="s">
        <v>972</v>
      </c>
      <c r="G280" s="31" t="s">
        <v>397</v>
      </c>
      <c r="H280" s="11">
        <v>500</v>
      </c>
      <c r="I280" s="13">
        <v>0.81</v>
      </c>
      <c r="J280" s="13">
        <v>405</v>
      </c>
      <c r="K280" s="11" t="s">
        <v>17</v>
      </c>
      <c r="L280" s="19" t="s">
        <v>973</v>
      </c>
      <c r="M280" s="11" t="s">
        <v>31</v>
      </c>
    </row>
    <row r="281" spans="2:15" s="15" customFormat="1" ht="15" customHeight="1" x14ac:dyDescent="0.25">
      <c r="B281" s="11" t="s">
        <v>974</v>
      </c>
      <c r="C281" s="26">
        <v>45355</v>
      </c>
      <c r="D281" s="23" t="s">
        <v>975</v>
      </c>
      <c r="E281" s="11" t="s">
        <v>14</v>
      </c>
      <c r="F281" s="23" t="s">
        <v>976</v>
      </c>
      <c r="G281" s="23" t="s">
        <v>977</v>
      </c>
      <c r="H281" s="11" t="s">
        <v>978</v>
      </c>
      <c r="I281" s="13">
        <v>32</v>
      </c>
      <c r="J281" s="13">
        <v>320</v>
      </c>
      <c r="K281" s="11" t="s">
        <v>17</v>
      </c>
      <c r="L281" s="19"/>
      <c r="M281" s="11" t="s">
        <v>18</v>
      </c>
    </row>
    <row r="282" spans="2:15" s="15" customFormat="1" ht="15" customHeight="1" x14ac:dyDescent="0.25">
      <c r="B282" s="11" t="s">
        <v>979</v>
      </c>
      <c r="C282" s="26">
        <v>45356</v>
      </c>
      <c r="D282" s="23" t="s">
        <v>708</v>
      </c>
      <c r="E282" s="11" t="s">
        <v>14</v>
      </c>
      <c r="F282" s="23" t="s">
        <v>980</v>
      </c>
      <c r="G282" s="23" t="s">
        <v>981</v>
      </c>
      <c r="H282" s="11">
        <v>2000</v>
      </c>
      <c r="I282" s="58">
        <v>6.92</v>
      </c>
      <c r="J282" s="13">
        <v>6920</v>
      </c>
      <c r="K282" s="11" t="s">
        <v>25</v>
      </c>
      <c r="L282" s="19"/>
      <c r="M282" s="11" t="s">
        <v>31</v>
      </c>
    </row>
    <row r="283" spans="2:15" s="15" customFormat="1" ht="15" customHeight="1" x14ac:dyDescent="0.25">
      <c r="B283" s="11" t="s">
        <v>982</v>
      </c>
      <c r="C283" s="26">
        <v>45356</v>
      </c>
      <c r="D283" s="23" t="s">
        <v>880</v>
      </c>
      <c r="E283" s="11" t="s">
        <v>14</v>
      </c>
      <c r="F283" s="23" t="s">
        <v>983</v>
      </c>
      <c r="G283" s="23" t="s">
        <v>984</v>
      </c>
      <c r="H283" s="11">
        <v>720</v>
      </c>
      <c r="I283" s="13">
        <v>1500.85</v>
      </c>
      <c r="J283" s="13">
        <v>120068</v>
      </c>
      <c r="K283" s="11" t="s">
        <v>17</v>
      </c>
      <c r="L283" s="19"/>
      <c r="M283" s="11" t="s">
        <v>18</v>
      </c>
    </row>
    <row r="284" spans="2:15" s="15" customFormat="1" ht="15" customHeight="1" x14ac:dyDescent="0.25">
      <c r="B284" s="11" t="s">
        <v>985</v>
      </c>
      <c r="C284" s="26">
        <v>45356</v>
      </c>
      <c r="D284" s="23" t="s">
        <v>346</v>
      </c>
      <c r="E284" s="11" t="s">
        <v>14</v>
      </c>
      <c r="F284" s="23" t="s">
        <v>289</v>
      </c>
      <c r="G284" s="31" t="s">
        <v>986</v>
      </c>
      <c r="H284" s="11" t="s">
        <v>978</v>
      </c>
      <c r="I284" s="13">
        <v>21</v>
      </c>
      <c r="J284" s="13">
        <v>210</v>
      </c>
      <c r="K284" s="11" t="s">
        <v>17</v>
      </c>
      <c r="L284" s="19" t="s">
        <v>566</v>
      </c>
      <c r="M284" s="11" t="s">
        <v>31</v>
      </c>
    </row>
    <row r="285" spans="2:15" s="15" customFormat="1" ht="15" customHeight="1" x14ac:dyDescent="0.25">
      <c r="B285" s="11" t="s">
        <v>987</v>
      </c>
      <c r="C285" s="26">
        <v>45357</v>
      </c>
      <c r="D285" s="23" t="s">
        <v>907</v>
      </c>
      <c r="E285" s="11" t="s">
        <v>14</v>
      </c>
      <c r="F285" s="23" t="s">
        <v>988</v>
      </c>
      <c r="G285" s="23" t="s">
        <v>989</v>
      </c>
      <c r="H285" s="11">
        <v>2</v>
      </c>
      <c r="I285" s="58">
        <v>5175</v>
      </c>
      <c r="J285" s="13">
        <v>5175</v>
      </c>
      <c r="K285" s="11" t="s">
        <v>17</v>
      </c>
      <c r="L285" s="19"/>
      <c r="M285" s="11" t="s">
        <v>18</v>
      </c>
    </row>
    <row r="286" spans="2:15" s="15" customFormat="1" ht="15" customHeight="1" x14ac:dyDescent="0.25">
      <c r="B286" s="11" t="s">
        <v>990</v>
      </c>
      <c r="C286" s="26">
        <v>45357</v>
      </c>
      <c r="D286" s="23" t="s">
        <v>991</v>
      </c>
      <c r="E286" s="11" t="s">
        <v>14</v>
      </c>
      <c r="F286" s="23" t="s">
        <v>992</v>
      </c>
      <c r="G286" s="23" t="s">
        <v>993</v>
      </c>
      <c r="H286" s="11">
        <v>1000</v>
      </c>
      <c r="I286" s="13">
        <v>0.92500000000000004</v>
      </c>
      <c r="J286" s="13">
        <v>925</v>
      </c>
      <c r="K286" s="11" t="s">
        <v>17</v>
      </c>
      <c r="L286" s="19" t="s">
        <v>554</v>
      </c>
      <c r="M286" s="11" t="s">
        <v>31</v>
      </c>
    </row>
    <row r="287" spans="2:15" s="15" customFormat="1" ht="15" customHeight="1" x14ac:dyDescent="0.25">
      <c r="B287" s="11" t="s">
        <v>994</v>
      </c>
      <c r="C287" s="26">
        <v>45357</v>
      </c>
      <c r="D287" s="23" t="s">
        <v>485</v>
      </c>
      <c r="E287" s="11" t="s">
        <v>14</v>
      </c>
      <c r="F287" s="23" t="s">
        <v>995</v>
      </c>
      <c r="G287" s="31" t="s">
        <v>996</v>
      </c>
      <c r="H287" s="11">
        <v>2</v>
      </c>
      <c r="I287" s="13">
        <v>187.5</v>
      </c>
      <c r="J287" s="13">
        <v>375</v>
      </c>
      <c r="K287" s="11" t="s">
        <v>17</v>
      </c>
      <c r="L287" s="19"/>
      <c r="M287" s="11" t="s">
        <v>18</v>
      </c>
    </row>
    <row r="288" spans="2:15" s="15" customFormat="1" ht="15" customHeight="1" x14ac:dyDescent="0.25">
      <c r="B288" s="11" t="s">
        <v>997</v>
      </c>
      <c r="C288" s="26">
        <v>45358</v>
      </c>
      <c r="D288" s="23" t="s">
        <v>998</v>
      </c>
      <c r="E288" s="11" t="s">
        <v>14</v>
      </c>
      <c r="F288" s="23" t="s">
        <v>999</v>
      </c>
      <c r="G288" s="31" t="s">
        <v>1000</v>
      </c>
      <c r="H288" s="11">
        <v>1</v>
      </c>
      <c r="I288" s="24">
        <v>4425</v>
      </c>
      <c r="J288" s="24">
        <v>4425</v>
      </c>
      <c r="K288" s="11" t="s">
        <v>17</v>
      </c>
      <c r="L288" s="19"/>
      <c r="M288" s="11" t="s">
        <v>31</v>
      </c>
    </row>
    <row r="289" spans="2:13" s="15" customFormat="1" ht="15" customHeight="1" x14ac:dyDescent="0.25">
      <c r="B289" s="59" t="s">
        <v>1001</v>
      </c>
      <c r="C289" s="26">
        <v>45359</v>
      </c>
      <c r="D289" s="23" t="s">
        <v>1002</v>
      </c>
      <c r="E289" s="11" t="s">
        <v>14</v>
      </c>
      <c r="F289" s="23" t="s">
        <v>1003</v>
      </c>
      <c r="G289" s="23" t="s">
        <v>1004</v>
      </c>
      <c r="H289" s="11"/>
      <c r="I289" s="24">
        <v>40342.5</v>
      </c>
      <c r="J289" s="24">
        <v>40342.5</v>
      </c>
      <c r="K289" s="11" t="s">
        <v>25</v>
      </c>
      <c r="L289" s="19"/>
      <c r="M289" s="11" t="s">
        <v>18</v>
      </c>
    </row>
    <row r="290" spans="2:13" s="15" customFormat="1" ht="15" customHeight="1" x14ac:dyDescent="0.25">
      <c r="B290" s="11" t="s">
        <v>1005</v>
      </c>
      <c r="C290" s="26">
        <v>45359</v>
      </c>
      <c r="D290" s="23" t="s">
        <v>821</v>
      </c>
      <c r="E290" s="11" t="s">
        <v>14</v>
      </c>
      <c r="F290" s="31" t="s">
        <v>640</v>
      </c>
      <c r="G290" s="23" t="s">
        <v>1006</v>
      </c>
      <c r="H290" s="11">
        <v>140</v>
      </c>
      <c r="I290" s="24">
        <v>24</v>
      </c>
      <c r="J290" s="24">
        <v>3360</v>
      </c>
      <c r="K290" s="11" t="s">
        <v>17</v>
      </c>
      <c r="L290" s="19"/>
      <c r="M290" s="11" t="s">
        <v>31</v>
      </c>
    </row>
    <row r="291" spans="2:13" s="15" customFormat="1" ht="15" customHeight="1" x14ac:dyDescent="0.25">
      <c r="B291" s="11" t="s">
        <v>1007</v>
      </c>
      <c r="C291" s="26">
        <v>45359</v>
      </c>
      <c r="D291" s="23" t="s">
        <v>1008</v>
      </c>
      <c r="E291" s="11" t="s">
        <v>14</v>
      </c>
      <c r="F291" s="23" t="s">
        <v>1009</v>
      </c>
      <c r="G291" s="23" t="s">
        <v>1010</v>
      </c>
      <c r="H291" s="11">
        <v>2000</v>
      </c>
      <c r="I291" s="24">
        <v>9.23</v>
      </c>
      <c r="J291" s="24">
        <v>9225</v>
      </c>
      <c r="K291" s="11" t="s">
        <v>17</v>
      </c>
      <c r="L291" s="19"/>
      <c r="M291" s="11" t="s">
        <v>18</v>
      </c>
    </row>
    <row r="292" spans="2:13" s="15" customFormat="1" ht="15" customHeight="1" x14ac:dyDescent="0.25">
      <c r="B292" s="11" t="s">
        <v>1011</v>
      </c>
      <c r="C292" s="26">
        <v>45359</v>
      </c>
      <c r="D292" s="23" t="s">
        <v>773</v>
      </c>
      <c r="E292" s="11" t="s">
        <v>14</v>
      </c>
      <c r="F292" s="23" t="s">
        <v>780</v>
      </c>
      <c r="G292" s="31" t="s">
        <v>1012</v>
      </c>
      <c r="H292" s="11">
        <v>30</v>
      </c>
      <c r="I292" s="24">
        <v>74.75</v>
      </c>
      <c r="J292" s="24">
        <v>2242.5</v>
      </c>
      <c r="K292" s="11" t="s">
        <v>17</v>
      </c>
      <c r="L292" s="19"/>
      <c r="M292" s="11" t="s">
        <v>31</v>
      </c>
    </row>
    <row r="293" spans="2:13" s="15" customFormat="1" ht="15" customHeight="1" x14ac:dyDescent="0.25">
      <c r="B293" s="11" t="s">
        <v>1013</v>
      </c>
      <c r="C293" s="26">
        <v>45359</v>
      </c>
      <c r="D293" s="23" t="s">
        <v>463</v>
      </c>
      <c r="E293" s="11" t="s">
        <v>14</v>
      </c>
      <c r="F293" s="23" t="s">
        <v>468</v>
      </c>
      <c r="G293" s="23" t="s">
        <v>1014</v>
      </c>
      <c r="H293" s="11">
        <v>1</v>
      </c>
      <c r="I293" s="24">
        <v>450</v>
      </c>
      <c r="J293" s="24">
        <v>450</v>
      </c>
      <c r="K293" s="11" t="s">
        <v>17</v>
      </c>
      <c r="L293" s="19"/>
      <c r="M293" s="11" t="s">
        <v>18</v>
      </c>
    </row>
    <row r="294" spans="2:13" s="15" customFormat="1" ht="15" customHeight="1" x14ac:dyDescent="0.25">
      <c r="B294" s="11" t="s">
        <v>1015</v>
      </c>
      <c r="C294" s="26">
        <v>45359</v>
      </c>
      <c r="D294" s="23" t="s">
        <v>622</v>
      </c>
      <c r="E294" s="11" t="s">
        <v>14</v>
      </c>
      <c r="F294" s="23" t="s">
        <v>1016</v>
      </c>
      <c r="G294" s="23" t="s">
        <v>1017</v>
      </c>
      <c r="H294" s="11">
        <v>130</v>
      </c>
      <c r="I294" s="24">
        <v>12.3</v>
      </c>
      <c r="J294" s="24">
        <v>1599</v>
      </c>
      <c r="K294" s="11" t="s">
        <v>17</v>
      </c>
      <c r="L294" s="23"/>
      <c r="M294" s="11" t="s">
        <v>31</v>
      </c>
    </row>
    <row r="295" spans="2:13" s="15" customFormat="1" ht="15" customHeight="1" x14ac:dyDescent="0.25">
      <c r="B295" s="11" t="s">
        <v>1018</v>
      </c>
      <c r="C295" s="26">
        <v>45359</v>
      </c>
      <c r="D295" s="23" t="s">
        <v>907</v>
      </c>
      <c r="E295" s="11" t="s">
        <v>14</v>
      </c>
      <c r="F295" s="23" t="s">
        <v>1019</v>
      </c>
      <c r="G295" s="23" t="s">
        <v>864</v>
      </c>
      <c r="H295" s="11">
        <v>100</v>
      </c>
      <c r="I295" s="24">
        <v>1.35</v>
      </c>
      <c r="J295" s="24">
        <v>135</v>
      </c>
      <c r="K295" s="11" t="s">
        <v>17</v>
      </c>
      <c r="L295" s="19" t="s">
        <v>577</v>
      </c>
      <c r="M295" s="11" t="s">
        <v>31</v>
      </c>
    </row>
    <row r="296" spans="2:13" s="15" customFormat="1" ht="15" customHeight="1" x14ac:dyDescent="0.25">
      <c r="B296" s="11" t="s">
        <v>1020</v>
      </c>
      <c r="C296" s="60">
        <v>45359</v>
      </c>
      <c r="D296" s="23" t="s">
        <v>708</v>
      </c>
      <c r="E296" s="11" t="s">
        <v>14</v>
      </c>
      <c r="F296" s="23" t="s">
        <v>1021</v>
      </c>
      <c r="G296" s="23" t="s">
        <v>1022</v>
      </c>
      <c r="H296" s="11">
        <v>2500</v>
      </c>
      <c r="I296" s="24">
        <v>5.45</v>
      </c>
      <c r="J296" s="24">
        <v>13625</v>
      </c>
      <c r="K296" s="11" t="s">
        <v>25</v>
      </c>
      <c r="L296" s="19"/>
      <c r="M296" s="11" t="s">
        <v>31</v>
      </c>
    </row>
    <row r="297" spans="2:13" s="15" customFormat="1" ht="15" customHeight="1" x14ac:dyDescent="0.25">
      <c r="B297" s="11" t="s">
        <v>1023</v>
      </c>
      <c r="C297" s="26">
        <v>45362</v>
      </c>
      <c r="D297" s="23" t="s">
        <v>241</v>
      </c>
      <c r="E297" s="11" t="s">
        <v>14</v>
      </c>
      <c r="F297" s="23" t="s">
        <v>197</v>
      </c>
      <c r="G297" s="23" t="s">
        <v>1024</v>
      </c>
      <c r="H297" s="11" t="s">
        <v>1025</v>
      </c>
      <c r="I297" s="24">
        <v>405</v>
      </c>
      <c r="J297" s="24">
        <v>425.25</v>
      </c>
      <c r="K297" s="11" t="s">
        <v>17</v>
      </c>
      <c r="L297" s="19"/>
      <c r="M297" s="11" t="s">
        <v>31</v>
      </c>
    </row>
    <row r="298" spans="2:13" s="15" customFormat="1" ht="15" customHeight="1" x14ac:dyDescent="0.25">
      <c r="B298" s="11" t="s">
        <v>1026</v>
      </c>
      <c r="C298" s="26">
        <v>45362</v>
      </c>
      <c r="D298" s="23" t="s">
        <v>1027</v>
      </c>
      <c r="E298" s="11" t="s">
        <v>14</v>
      </c>
      <c r="F298" s="23" t="s">
        <v>1028</v>
      </c>
      <c r="G298" s="23" t="s">
        <v>1029</v>
      </c>
      <c r="H298" s="11">
        <v>150</v>
      </c>
      <c r="I298" s="24">
        <v>24</v>
      </c>
      <c r="J298" s="24">
        <v>3600</v>
      </c>
      <c r="K298" s="11" t="s">
        <v>17</v>
      </c>
      <c r="L298" s="19"/>
      <c r="M298" s="11" t="s">
        <v>31</v>
      </c>
    </row>
    <row r="299" spans="2:13" s="15" customFormat="1" ht="15" customHeight="1" x14ac:dyDescent="0.25">
      <c r="B299" s="11" t="s">
        <v>1030</v>
      </c>
      <c r="C299" s="26">
        <v>45362</v>
      </c>
      <c r="D299" s="23" t="s">
        <v>115</v>
      </c>
      <c r="E299" s="11" t="s">
        <v>14</v>
      </c>
      <c r="F299" s="23" t="s">
        <v>1031</v>
      </c>
      <c r="G299" s="23" t="s">
        <v>1032</v>
      </c>
      <c r="H299" s="11">
        <v>1</v>
      </c>
      <c r="I299" s="24">
        <v>1250</v>
      </c>
      <c r="J299" s="24">
        <v>1250</v>
      </c>
      <c r="K299" s="11" t="s">
        <v>17</v>
      </c>
      <c r="L299" s="19"/>
      <c r="M299" s="11" t="s">
        <v>18</v>
      </c>
    </row>
    <row r="300" spans="2:13" s="15" customFormat="1" ht="15" customHeight="1" x14ac:dyDescent="0.25">
      <c r="B300" s="11" t="s">
        <v>1033</v>
      </c>
      <c r="C300" s="26">
        <v>45362</v>
      </c>
      <c r="D300" s="23" t="s">
        <v>1034</v>
      </c>
      <c r="E300" s="11" t="s">
        <v>14</v>
      </c>
      <c r="F300" s="23" t="s">
        <v>1035</v>
      </c>
      <c r="G300" s="31" t="s">
        <v>1036</v>
      </c>
      <c r="H300" s="11">
        <v>8</v>
      </c>
      <c r="I300" s="24">
        <v>120</v>
      </c>
      <c r="J300" s="24">
        <v>1360</v>
      </c>
      <c r="K300" s="11" t="s">
        <v>25</v>
      </c>
      <c r="L300" s="19"/>
      <c r="M300" s="11" t="s">
        <v>31</v>
      </c>
    </row>
    <row r="301" spans="2:13" s="15" customFormat="1" ht="15" customHeight="1" x14ac:dyDescent="0.25">
      <c r="B301" s="11" t="s">
        <v>1037</v>
      </c>
      <c r="C301" s="26">
        <v>45363</v>
      </c>
      <c r="D301" s="23" t="s">
        <v>776</v>
      </c>
      <c r="E301" s="11" t="s">
        <v>14</v>
      </c>
      <c r="F301" s="23" t="s">
        <v>1038</v>
      </c>
      <c r="G301" s="15" t="s">
        <v>1039</v>
      </c>
      <c r="H301" s="11">
        <v>500</v>
      </c>
      <c r="I301" s="24">
        <v>1.06</v>
      </c>
      <c r="J301" s="24">
        <v>530</v>
      </c>
      <c r="K301" s="11" t="s">
        <v>17</v>
      </c>
      <c r="L301" s="19"/>
      <c r="M301" s="11" t="s">
        <v>18</v>
      </c>
    </row>
    <row r="302" spans="2:13" s="15" customFormat="1" ht="15" customHeight="1" x14ac:dyDescent="0.25">
      <c r="B302" s="11" t="s">
        <v>1040</v>
      </c>
      <c r="C302" s="26">
        <v>45364</v>
      </c>
      <c r="D302" s="23" t="s">
        <v>27</v>
      </c>
      <c r="E302" s="11"/>
      <c r="F302" s="23" t="s">
        <v>1041</v>
      </c>
      <c r="G302" s="31"/>
      <c r="H302" s="11"/>
      <c r="I302" s="24"/>
      <c r="J302" s="61">
        <v>6950</v>
      </c>
      <c r="K302" s="11" t="s">
        <v>17</v>
      </c>
      <c r="L302" s="19"/>
      <c r="M302" s="11" t="s">
        <v>31</v>
      </c>
    </row>
    <row r="303" spans="2:13" s="15" customFormat="1" ht="15" customHeight="1" x14ac:dyDescent="0.25">
      <c r="B303" s="11" t="s">
        <v>1042</v>
      </c>
      <c r="C303" s="26">
        <v>45364</v>
      </c>
      <c r="D303" s="23" t="s">
        <v>1043</v>
      </c>
      <c r="E303" s="11"/>
      <c r="F303" s="23" t="s">
        <v>1044</v>
      </c>
      <c r="G303" s="23"/>
      <c r="H303" s="11"/>
      <c r="I303" s="24"/>
      <c r="J303" s="24">
        <v>1250</v>
      </c>
      <c r="K303" s="11" t="s">
        <v>17</v>
      </c>
      <c r="L303" s="19"/>
      <c r="M303" s="11" t="s">
        <v>31</v>
      </c>
    </row>
    <row r="304" spans="2:13" s="15" customFormat="1" ht="15" customHeight="1" x14ac:dyDescent="0.25">
      <c r="B304" s="11" t="s">
        <v>1045</v>
      </c>
      <c r="C304" s="26">
        <v>45364</v>
      </c>
      <c r="D304" s="23" t="s">
        <v>1046</v>
      </c>
      <c r="E304" s="11"/>
      <c r="F304" s="23" t="s">
        <v>1047</v>
      </c>
      <c r="G304" s="23"/>
      <c r="H304" s="11"/>
      <c r="I304" s="24"/>
      <c r="J304" s="24">
        <v>3660</v>
      </c>
      <c r="K304" s="11" t="s">
        <v>17</v>
      </c>
      <c r="L304" s="19"/>
      <c r="M304" s="11" t="s">
        <v>31</v>
      </c>
    </row>
    <row r="305" spans="2:13" s="15" customFormat="1" ht="15" customHeight="1" x14ac:dyDescent="0.25">
      <c r="B305" s="11" t="s">
        <v>1048</v>
      </c>
      <c r="C305" s="26">
        <v>45364</v>
      </c>
      <c r="D305" s="23" t="s">
        <v>1049</v>
      </c>
      <c r="E305" s="11"/>
      <c r="F305" s="23" t="s">
        <v>1050</v>
      </c>
      <c r="G305" s="23"/>
      <c r="H305" s="11"/>
      <c r="I305" s="24"/>
      <c r="J305" s="24">
        <v>2400</v>
      </c>
      <c r="K305" s="11" t="s">
        <v>17</v>
      </c>
      <c r="L305" s="19"/>
      <c r="M305" s="11" t="s">
        <v>18</v>
      </c>
    </row>
    <row r="306" spans="2:13" s="15" customFormat="1" ht="15" customHeight="1" x14ac:dyDescent="0.25">
      <c r="B306" s="11" t="s">
        <v>1051</v>
      </c>
      <c r="C306" s="16">
        <v>45365</v>
      </c>
      <c r="D306" s="23" t="s">
        <v>27</v>
      </c>
      <c r="E306" s="11"/>
      <c r="F306" s="23" t="s">
        <v>1052</v>
      </c>
      <c r="G306" s="23"/>
      <c r="H306" s="11"/>
      <c r="I306" s="24"/>
      <c r="J306" s="24">
        <v>275</v>
      </c>
      <c r="K306" s="11" t="s">
        <v>17</v>
      </c>
      <c r="L306" s="19"/>
      <c r="M306" s="11" t="s">
        <v>31</v>
      </c>
    </row>
    <row r="307" spans="2:13" s="15" customFormat="1" ht="15" customHeight="1" x14ac:dyDescent="0.25">
      <c r="B307" s="11" t="s">
        <v>1053</v>
      </c>
      <c r="C307" s="16">
        <v>45365</v>
      </c>
      <c r="D307" s="23" t="s">
        <v>1054</v>
      </c>
      <c r="E307" s="11"/>
      <c r="F307" s="23" t="s">
        <v>1055</v>
      </c>
      <c r="G307" s="23"/>
      <c r="H307" s="11"/>
      <c r="I307" s="24"/>
      <c r="J307" s="24">
        <v>1615</v>
      </c>
      <c r="K307" s="11" t="s">
        <v>17</v>
      </c>
      <c r="L307" s="19"/>
      <c r="M307" s="11" t="s">
        <v>31</v>
      </c>
    </row>
    <row r="308" spans="2:13" s="15" customFormat="1" ht="15" customHeight="1" x14ac:dyDescent="0.25">
      <c r="B308" s="11" t="s">
        <v>1056</v>
      </c>
      <c r="C308" s="16">
        <v>45365</v>
      </c>
      <c r="D308" s="23" t="s">
        <v>1057</v>
      </c>
      <c r="E308" s="11"/>
      <c r="F308" s="23" t="s">
        <v>1058</v>
      </c>
      <c r="G308" s="23"/>
      <c r="H308" s="11"/>
      <c r="I308" s="24"/>
      <c r="J308" s="24">
        <v>3272.5</v>
      </c>
      <c r="K308" s="11" t="s">
        <v>17</v>
      </c>
      <c r="L308" s="19"/>
      <c r="M308" s="11" t="s">
        <v>31</v>
      </c>
    </row>
    <row r="309" spans="2:13" s="15" customFormat="1" ht="15" customHeight="1" x14ac:dyDescent="0.25">
      <c r="B309" s="11" t="s">
        <v>1059</v>
      </c>
      <c r="C309" s="16">
        <v>45366</v>
      </c>
      <c r="D309" s="23" t="s">
        <v>1060</v>
      </c>
      <c r="E309" s="11"/>
      <c r="F309" s="23" t="s">
        <v>1061</v>
      </c>
      <c r="G309" s="23"/>
      <c r="H309" s="11"/>
      <c r="I309" s="24"/>
      <c r="J309" s="24">
        <v>3775</v>
      </c>
      <c r="K309" s="11" t="s">
        <v>17</v>
      </c>
      <c r="L309" s="19"/>
      <c r="M309" s="11" t="s">
        <v>31</v>
      </c>
    </row>
    <row r="310" spans="2:13" s="15" customFormat="1" ht="15" customHeight="1" x14ac:dyDescent="0.25">
      <c r="B310" s="11" t="s">
        <v>1062</v>
      </c>
      <c r="C310" s="16">
        <v>45366</v>
      </c>
      <c r="D310" s="23" t="s">
        <v>1063</v>
      </c>
      <c r="E310" s="11"/>
      <c r="F310" s="23" t="s">
        <v>1064</v>
      </c>
      <c r="G310" s="23"/>
      <c r="H310" s="11"/>
      <c r="I310" s="24"/>
      <c r="J310" s="24">
        <v>5275</v>
      </c>
      <c r="K310" s="11" t="s">
        <v>17</v>
      </c>
      <c r="L310" s="19"/>
      <c r="M310" s="11" t="s">
        <v>18</v>
      </c>
    </row>
    <row r="311" spans="2:13" s="15" customFormat="1" ht="15" customHeight="1" x14ac:dyDescent="0.25">
      <c r="B311" s="11" t="s">
        <v>1065</v>
      </c>
      <c r="C311" s="16">
        <v>45366</v>
      </c>
      <c r="D311" s="23" t="s">
        <v>1066</v>
      </c>
      <c r="E311" s="11"/>
      <c r="F311" s="23" t="s">
        <v>1067</v>
      </c>
      <c r="G311" s="23"/>
      <c r="H311" s="11"/>
      <c r="I311" s="24"/>
      <c r="J311" s="24">
        <v>290</v>
      </c>
      <c r="K311" s="11" t="s">
        <v>17</v>
      </c>
      <c r="L311" s="19"/>
      <c r="M311" s="11" t="s">
        <v>31</v>
      </c>
    </row>
    <row r="312" spans="2:13" s="15" customFormat="1" ht="15" customHeight="1" x14ac:dyDescent="0.25">
      <c r="B312" s="11" t="s">
        <v>1068</v>
      </c>
      <c r="C312" s="16">
        <v>45367</v>
      </c>
      <c r="D312" s="23" t="s">
        <v>1069</v>
      </c>
      <c r="E312" s="11"/>
      <c r="F312" s="23" t="s">
        <v>1070</v>
      </c>
      <c r="G312" s="31"/>
      <c r="H312" s="11"/>
      <c r="I312" s="24"/>
      <c r="J312" s="24">
        <v>1325</v>
      </c>
      <c r="K312" s="11" t="s">
        <v>17</v>
      </c>
      <c r="L312" s="19"/>
      <c r="M312" s="11" t="s">
        <v>18</v>
      </c>
    </row>
    <row r="313" spans="2:13" s="15" customFormat="1" ht="15" customHeight="1" x14ac:dyDescent="0.25">
      <c r="B313" s="11" t="s">
        <v>1071</v>
      </c>
      <c r="C313" s="16">
        <v>45367</v>
      </c>
      <c r="D313" s="23" t="s">
        <v>221</v>
      </c>
      <c r="E313" s="11"/>
      <c r="F313" s="23" t="s">
        <v>1072</v>
      </c>
      <c r="G313" s="23"/>
      <c r="H313" s="11"/>
      <c r="I313" s="24"/>
      <c r="J313" s="24">
        <v>1395</v>
      </c>
      <c r="K313" s="11" t="s">
        <v>17</v>
      </c>
      <c r="L313" s="19"/>
      <c r="M313" s="11" t="s">
        <v>18</v>
      </c>
    </row>
    <row r="314" spans="2:13" s="15" customFormat="1" ht="15" customHeight="1" x14ac:dyDescent="0.25">
      <c r="B314" s="11" t="s">
        <v>1073</v>
      </c>
      <c r="C314" s="16">
        <v>45367</v>
      </c>
      <c r="D314" s="23" t="s">
        <v>1074</v>
      </c>
      <c r="E314" s="11"/>
      <c r="F314" s="23" t="s">
        <v>1075</v>
      </c>
      <c r="G314" s="23"/>
      <c r="H314" s="11"/>
      <c r="I314" s="24"/>
      <c r="J314" s="24">
        <v>7940</v>
      </c>
      <c r="K314" s="11" t="s">
        <v>17</v>
      </c>
      <c r="L314" s="19"/>
      <c r="M314" s="11" t="s">
        <v>18</v>
      </c>
    </row>
    <row r="315" spans="2:13" s="15" customFormat="1" ht="15" customHeight="1" x14ac:dyDescent="0.25">
      <c r="B315" s="11" t="s">
        <v>1076</v>
      </c>
      <c r="C315" s="16">
        <v>45369</v>
      </c>
      <c r="D315" s="23" t="s">
        <v>1077</v>
      </c>
      <c r="E315" s="11"/>
      <c r="F315" s="23" t="s">
        <v>1078</v>
      </c>
      <c r="G315" s="23"/>
      <c r="H315" s="11"/>
      <c r="I315" s="24"/>
      <c r="J315" s="24">
        <v>1500</v>
      </c>
      <c r="K315" s="11" t="s">
        <v>17</v>
      </c>
      <c r="L315" s="19"/>
      <c r="M315" s="11" t="s">
        <v>18</v>
      </c>
    </row>
    <row r="316" spans="2:13" s="15" customFormat="1" ht="15" customHeight="1" x14ac:dyDescent="0.25">
      <c r="B316" s="11" t="s">
        <v>1079</v>
      </c>
      <c r="C316" s="16">
        <v>45369</v>
      </c>
      <c r="D316" s="23" t="s">
        <v>27</v>
      </c>
      <c r="E316" s="11"/>
      <c r="F316" s="23" t="s">
        <v>511</v>
      </c>
      <c r="G316" s="31" t="s">
        <v>1080</v>
      </c>
      <c r="H316" s="62" t="s">
        <v>1081</v>
      </c>
      <c r="I316" s="24"/>
      <c r="J316" s="24">
        <v>275</v>
      </c>
      <c r="K316" s="11" t="s">
        <v>17</v>
      </c>
      <c r="L316" s="19"/>
      <c r="M316" s="11" t="s">
        <v>31</v>
      </c>
    </row>
    <row r="317" spans="2:13" s="15" customFormat="1" ht="15" customHeight="1" x14ac:dyDescent="0.25">
      <c r="B317" s="11" t="s">
        <v>1082</v>
      </c>
      <c r="C317" s="16">
        <v>45370</v>
      </c>
      <c r="D317" s="23" t="s">
        <v>1083</v>
      </c>
      <c r="E317" s="11"/>
      <c r="F317" s="23" t="s">
        <v>1044</v>
      </c>
      <c r="G317" s="23" t="s">
        <v>1084</v>
      </c>
      <c r="H317" s="11">
        <v>1</v>
      </c>
      <c r="I317" s="24">
        <v>3750</v>
      </c>
      <c r="J317" s="24">
        <v>3750</v>
      </c>
      <c r="K317" s="11" t="s">
        <v>17</v>
      </c>
      <c r="L317" s="19"/>
      <c r="M317" s="11" t="s">
        <v>18</v>
      </c>
    </row>
    <row r="318" spans="2:13" s="15" customFormat="1" ht="15" customHeight="1" x14ac:dyDescent="0.25">
      <c r="B318" s="11" t="s">
        <v>1085</v>
      </c>
      <c r="C318" s="16">
        <v>45370</v>
      </c>
      <c r="D318" s="23" t="s">
        <v>1086</v>
      </c>
      <c r="E318" s="11"/>
      <c r="F318" s="23" t="s">
        <v>1087</v>
      </c>
      <c r="G318" s="23" t="s">
        <v>1088</v>
      </c>
      <c r="H318" s="11">
        <v>5</v>
      </c>
      <c r="I318" s="24">
        <v>57</v>
      </c>
      <c r="J318" s="24">
        <v>285</v>
      </c>
      <c r="K318" s="11" t="s">
        <v>17</v>
      </c>
      <c r="L318" s="19"/>
      <c r="M318" s="11" t="s">
        <v>31</v>
      </c>
    </row>
    <row r="319" spans="2:13" s="15" customFormat="1" ht="15" customHeight="1" x14ac:dyDescent="0.25">
      <c r="B319" s="11" t="s">
        <v>1089</v>
      </c>
      <c r="C319" s="16">
        <v>45370</v>
      </c>
      <c r="D319" s="23" t="s">
        <v>463</v>
      </c>
      <c r="E319" s="11"/>
      <c r="F319" s="23" t="s">
        <v>1090</v>
      </c>
      <c r="G319" s="23" t="s">
        <v>1091</v>
      </c>
      <c r="H319" s="11">
        <v>30</v>
      </c>
      <c r="I319" s="24">
        <v>898</v>
      </c>
      <c r="J319" s="24">
        <v>26940</v>
      </c>
      <c r="K319" s="11" t="s">
        <v>17</v>
      </c>
      <c r="L319" s="19"/>
      <c r="M319" s="11" t="s">
        <v>18</v>
      </c>
    </row>
    <row r="320" spans="2:13" s="46" customFormat="1" ht="15" customHeight="1" x14ac:dyDescent="0.25">
      <c r="B320" s="11" t="s">
        <v>1092</v>
      </c>
      <c r="C320" s="16">
        <v>45378</v>
      </c>
      <c r="D320" s="23" t="s">
        <v>1093</v>
      </c>
      <c r="E320" s="11"/>
      <c r="F320" s="23" t="s">
        <v>1094</v>
      </c>
      <c r="G320" s="23" t="s">
        <v>1095</v>
      </c>
      <c r="H320" s="45" t="s">
        <v>1096</v>
      </c>
      <c r="I320" s="55">
        <v>525</v>
      </c>
      <c r="J320" s="55">
        <v>1575</v>
      </c>
      <c r="K320" s="11" t="s">
        <v>17</v>
      </c>
      <c r="L320" s="19"/>
      <c r="M320" s="11" t="s">
        <v>31</v>
      </c>
    </row>
    <row r="321" spans="2:13" s="15" customFormat="1" ht="15" customHeight="1" x14ac:dyDescent="0.25">
      <c r="B321" s="11" t="s">
        <v>1097</v>
      </c>
      <c r="C321" s="16">
        <v>45378</v>
      </c>
      <c r="D321" s="23" t="s">
        <v>1098</v>
      </c>
      <c r="E321" s="11"/>
      <c r="F321" s="31" t="s">
        <v>1099</v>
      </c>
      <c r="G321" s="23" t="s">
        <v>1100</v>
      </c>
      <c r="H321" s="11">
        <v>40</v>
      </c>
      <c r="I321" s="24"/>
      <c r="J321" s="24">
        <v>1995</v>
      </c>
      <c r="K321" s="11" t="s">
        <v>17</v>
      </c>
      <c r="L321" s="19"/>
      <c r="M321" s="11" t="s">
        <v>31</v>
      </c>
    </row>
    <row r="322" spans="2:13" s="15" customFormat="1" ht="15" customHeight="1" x14ac:dyDescent="0.25">
      <c r="B322" s="11" t="s">
        <v>1101</v>
      </c>
      <c r="C322" s="16">
        <v>45372</v>
      </c>
      <c r="D322" s="23" t="s">
        <v>1043</v>
      </c>
      <c r="E322" s="11"/>
      <c r="F322" s="23" t="s">
        <v>1102</v>
      </c>
      <c r="G322" s="23" t="s">
        <v>1103</v>
      </c>
      <c r="H322" s="11">
        <v>200</v>
      </c>
      <c r="I322" s="24"/>
      <c r="J322" s="24">
        <v>7875</v>
      </c>
      <c r="K322" s="11" t="s">
        <v>25</v>
      </c>
      <c r="L322" s="19"/>
      <c r="M322" s="11" t="s">
        <v>31</v>
      </c>
    </row>
    <row r="323" spans="2:13" s="15" customFormat="1" ht="15" customHeight="1" x14ac:dyDescent="0.25">
      <c r="B323" s="11" t="s">
        <v>1104</v>
      </c>
      <c r="C323" s="16">
        <v>45372</v>
      </c>
      <c r="D323" s="23" t="s">
        <v>426</v>
      </c>
      <c r="E323" s="11"/>
      <c r="F323" t="s">
        <v>1105</v>
      </c>
      <c r="G323" s="31" t="s">
        <v>1106</v>
      </c>
      <c r="H323" s="11">
        <v>200</v>
      </c>
      <c r="I323" s="24">
        <v>475</v>
      </c>
      <c r="J323" s="24">
        <v>475</v>
      </c>
      <c r="K323" s="11" t="s">
        <v>17</v>
      </c>
      <c r="L323" s="19"/>
      <c r="M323" s="11" t="s">
        <v>18</v>
      </c>
    </row>
    <row r="324" spans="2:13" s="15" customFormat="1" ht="15" customHeight="1" x14ac:dyDescent="0.25">
      <c r="B324" s="11" t="s">
        <v>1107</v>
      </c>
      <c r="C324" s="16">
        <v>45372</v>
      </c>
      <c r="D324" s="23" t="s">
        <v>1108</v>
      </c>
      <c r="E324" s="11"/>
      <c r="F324" s="23" t="s">
        <v>1109</v>
      </c>
      <c r="G324" s="31" t="s">
        <v>1110</v>
      </c>
      <c r="H324" s="11">
        <v>1</v>
      </c>
      <c r="I324" s="24">
        <v>38</v>
      </c>
      <c r="J324" s="24">
        <v>38</v>
      </c>
      <c r="K324" s="11" t="s">
        <v>17</v>
      </c>
      <c r="L324" s="19"/>
      <c r="M324" s="11" t="s">
        <v>18</v>
      </c>
    </row>
    <row r="325" spans="2:13" s="15" customFormat="1" ht="15" customHeight="1" x14ac:dyDescent="0.25">
      <c r="B325" s="11" t="s">
        <v>1111</v>
      </c>
      <c r="C325" s="16">
        <v>45372</v>
      </c>
      <c r="D325" s="23" t="s">
        <v>574</v>
      </c>
      <c r="E325" s="11"/>
      <c r="F325" s="23" t="s">
        <v>1112</v>
      </c>
      <c r="G325" s="23" t="s">
        <v>1113</v>
      </c>
      <c r="H325" s="11">
        <v>1</v>
      </c>
      <c r="I325" s="24">
        <v>145</v>
      </c>
      <c r="J325" s="24">
        <v>145</v>
      </c>
      <c r="K325" s="11" t="s">
        <v>17</v>
      </c>
      <c r="L325" s="19"/>
      <c r="M325" s="11" t="s">
        <v>31</v>
      </c>
    </row>
    <row r="326" spans="2:13" s="15" customFormat="1" ht="15" customHeight="1" x14ac:dyDescent="0.25">
      <c r="B326" s="11" t="s">
        <v>1114</v>
      </c>
      <c r="C326" s="16">
        <v>45372</v>
      </c>
      <c r="D326" s="23" t="s">
        <v>325</v>
      </c>
      <c r="E326" s="11"/>
      <c r="F326" s="23" t="s">
        <v>1115</v>
      </c>
      <c r="G326" s="31" t="s">
        <v>1116</v>
      </c>
      <c r="H326" s="11">
        <v>200</v>
      </c>
      <c r="I326" s="24">
        <v>2.75</v>
      </c>
      <c r="J326" s="24">
        <v>550</v>
      </c>
      <c r="K326" s="11" t="s">
        <v>17</v>
      </c>
      <c r="L326" s="19"/>
      <c r="M326" s="11" t="s">
        <v>31</v>
      </c>
    </row>
    <row r="327" spans="2:13" s="15" customFormat="1" ht="15" customHeight="1" x14ac:dyDescent="0.25">
      <c r="B327" s="11" t="s">
        <v>1117</v>
      </c>
      <c r="C327" s="16">
        <v>45372</v>
      </c>
      <c r="D327" s="23" t="s">
        <v>1118</v>
      </c>
      <c r="E327" s="11"/>
      <c r="F327" s="23" t="s">
        <v>1119</v>
      </c>
      <c r="G327" s="23" t="s">
        <v>1120</v>
      </c>
      <c r="H327" s="11">
        <v>1</v>
      </c>
      <c r="I327" s="24">
        <v>185</v>
      </c>
      <c r="J327" s="24">
        <v>185</v>
      </c>
      <c r="K327" s="11" t="s">
        <v>17</v>
      </c>
      <c r="L327" s="19"/>
      <c r="M327" s="11" t="s">
        <v>31</v>
      </c>
    </row>
    <row r="328" spans="2:13" s="15" customFormat="1" ht="15" customHeight="1" x14ac:dyDescent="0.25">
      <c r="B328" s="11" t="s">
        <v>1121</v>
      </c>
      <c r="C328" s="16">
        <v>45372</v>
      </c>
      <c r="D328" s="23" t="s">
        <v>142</v>
      </c>
      <c r="E328" s="11"/>
      <c r="F328" t="s">
        <v>1122</v>
      </c>
      <c r="G328" t="s">
        <v>1123</v>
      </c>
      <c r="H328" s="11">
        <v>25</v>
      </c>
      <c r="I328" s="24">
        <v>48</v>
      </c>
      <c r="J328" s="24">
        <v>1200</v>
      </c>
      <c r="K328" s="11" t="s">
        <v>25</v>
      </c>
      <c r="L328" s="19"/>
      <c r="M328" s="11" t="s">
        <v>18</v>
      </c>
    </row>
    <row r="329" spans="2:13" s="15" customFormat="1" ht="15" customHeight="1" x14ac:dyDescent="0.25">
      <c r="B329" s="11" t="s">
        <v>1124</v>
      </c>
      <c r="C329" s="16">
        <v>45372</v>
      </c>
      <c r="D329" s="23" t="s">
        <v>574</v>
      </c>
      <c r="E329" s="11"/>
      <c r="F329" s="23" t="s">
        <v>1125</v>
      </c>
      <c r="G329" s="31" t="s">
        <v>1126</v>
      </c>
      <c r="H329" s="11">
        <v>4</v>
      </c>
      <c r="I329" s="24">
        <v>78</v>
      </c>
      <c r="J329" s="24">
        <v>312</v>
      </c>
      <c r="K329" s="11" t="s">
        <v>17</v>
      </c>
      <c r="L329" s="19"/>
      <c r="M329" s="11" t="s">
        <v>18</v>
      </c>
    </row>
    <row r="330" spans="2:13" s="15" customFormat="1" ht="15" customHeight="1" x14ac:dyDescent="0.25">
      <c r="B330" s="11" t="s">
        <v>1127</v>
      </c>
      <c r="C330" s="16">
        <v>45372</v>
      </c>
      <c r="D330" s="23" t="s">
        <v>228</v>
      </c>
      <c r="E330" s="11"/>
      <c r="F330" s="23" t="s">
        <v>679</v>
      </c>
      <c r="G330" s="23" t="s">
        <v>1128</v>
      </c>
      <c r="H330" s="11">
        <v>10</v>
      </c>
      <c r="I330" s="24">
        <v>86.25</v>
      </c>
      <c r="J330" s="24">
        <f>H330*I330</f>
        <v>862.5</v>
      </c>
      <c r="K330" s="11" t="s">
        <v>17</v>
      </c>
      <c r="L330" s="19"/>
      <c r="M330" s="11" t="s">
        <v>18</v>
      </c>
    </row>
    <row r="331" spans="2:13" s="15" customFormat="1" ht="15" customHeight="1" x14ac:dyDescent="0.25">
      <c r="B331" s="11" t="s">
        <v>1129</v>
      </c>
      <c r="C331" s="16">
        <v>45373</v>
      </c>
      <c r="D331" s="23" t="s">
        <v>1130</v>
      </c>
      <c r="E331" s="11"/>
      <c r="F331" s="23" t="s">
        <v>1131</v>
      </c>
      <c r="G331" s="31" t="s">
        <v>1132</v>
      </c>
      <c r="H331" s="11">
        <v>100</v>
      </c>
      <c r="I331" s="24">
        <v>85.65</v>
      </c>
      <c r="J331" s="24">
        <v>8565</v>
      </c>
      <c r="K331" s="11" t="s">
        <v>25</v>
      </c>
      <c r="L331" s="19"/>
      <c r="M331" s="11" t="s">
        <v>18</v>
      </c>
    </row>
    <row r="332" spans="2:13" s="15" customFormat="1" ht="15" customHeight="1" x14ac:dyDescent="0.25">
      <c r="B332" s="11" t="s">
        <v>1133</v>
      </c>
      <c r="C332" s="16">
        <v>45373</v>
      </c>
      <c r="D332" s="23" t="s">
        <v>574</v>
      </c>
      <c r="E332" s="11"/>
      <c r="F332" s="23" t="s">
        <v>1134</v>
      </c>
      <c r="G332" s="31" t="s">
        <v>1135</v>
      </c>
      <c r="H332" s="11">
        <v>110</v>
      </c>
      <c r="I332" s="24">
        <v>26.5</v>
      </c>
      <c r="J332" s="24">
        <v>2915</v>
      </c>
      <c r="K332" s="11" t="s">
        <v>17</v>
      </c>
      <c r="L332" s="19"/>
      <c r="M332" s="11" t="s">
        <v>18</v>
      </c>
    </row>
    <row r="333" spans="2:13" s="15" customFormat="1" ht="15" customHeight="1" x14ac:dyDescent="0.25">
      <c r="B333" s="11" t="s">
        <v>1136</v>
      </c>
      <c r="C333" s="16">
        <v>45386</v>
      </c>
      <c r="D333" s="23" t="s">
        <v>1137</v>
      </c>
      <c r="E333" s="11"/>
      <c r="F333" s="23" t="s">
        <v>679</v>
      </c>
      <c r="G333" s="31" t="s">
        <v>1138</v>
      </c>
      <c r="H333" s="11">
        <v>500</v>
      </c>
      <c r="I333" s="24">
        <v>44</v>
      </c>
      <c r="J333" s="24">
        <v>22000</v>
      </c>
      <c r="K333" s="11" t="s">
        <v>25</v>
      </c>
      <c r="L333" s="19"/>
      <c r="M333" s="11" t="s">
        <v>31</v>
      </c>
    </row>
    <row r="334" spans="2:13" s="15" customFormat="1" ht="15" customHeight="1" x14ac:dyDescent="0.25">
      <c r="B334" s="11" t="s">
        <v>1139</v>
      </c>
      <c r="C334" s="16">
        <v>45373</v>
      </c>
      <c r="D334" s="23" t="s">
        <v>1137</v>
      </c>
      <c r="E334" s="11"/>
      <c r="F334" s="23" t="s">
        <v>1140</v>
      </c>
      <c r="G334" s="23" t="s">
        <v>1141</v>
      </c>
      <c r="H334" s="11">
        <v>500</v>
      </c>
      <c r="I334" s="24">
        <v>76.45</v>
      </c>
      <c r="J334" s="24">
        <v>0</v>
      </c>
      <c r="K334" s="11" t="s">
        <v>25</v>
      </c>
      <c r="L334" s="19"/>
      <c r="M334" s="11" t="s">
        <v>18</v>
      </c>
    </row>
    <row r="335" spans="2:13" s="15" customFormat="1" ht="15" customHeight="1" x14ac:dyDescent="0.25">
      <c r="B335" s="11" t="s">
        <v>1142</v>
      </c>
      <c r="C335" s="16">
        <v>45376</v>
      </c>
      <c r="D335" s="23" t="s">
        <v>574</v>
      </c>
      <c r="E335" s="11"/>
      <c r="F335" t="s">
        <v>1143</v>
      </c>
      <c r="G335" s="23" t="s">
        <v>1144</v>
      </c>
      <c r="H335" s="11">
        <v>5</v>
      </c>
      <c r="I335" s="24">
        <v>176.25</v>
      </c>
      <c r="J335" s="24">
        <v>881.25</v>
      </c>
      <c r="K335" s="11" t="s">
        <v>17</v>
      </c>
      <c r="L335" s="19"/>
      <c r="M335" s="11" t="s">
        <v>31</v>
      </c>
    </row>
    <row r="336" spans="2:13" s="15" customFormat="1" ht="15" customHeight="1" x14ac:dyDescent="0.25">
      <c r="B336" s="11" t="s">
        <v>1145</v>
      </c>
      <c r="C336" s="16">
        <v>45468</v>
      </c>
      <c r="D336" s="23" t="s">
        <v>255</v>
      </c>
      <c r="E336" s="11"/>
      <c r="F336" t="s">
        <v>1146</v>
      </c>
      <c r="G336" s="31" t="s">
        <v>1147</v>
      </c>
      <c r="H336" s="11">
        <v>37</v>
      </c>
      <c r="I336" s="24">
        <v>48.75</v>
      </c>
      <c r="J336" s="51">
        <f>H336*I336</f>
        <v>1803.75</v>
      </c>
      <c r="K336" s="11" t="s">
        <v>17</v>
      </c>
      <c r="L336" s="19" t="s">
        <v>1148</v>
      </c>
      <c r="M336" s="11" t="s">
        <v>31</v>
      </c>
    </row>
    <row r="337" spans="2:13" s="15" customFormat="1" ht="15" customHeight="1" x14ac:dyDescent="0.25">
      <c r="B337" s="11" t="s">
        <v>1149</v>
      </c>
      <c r="C337" s="16">
        <v>45377</v>
      </c>
      <c r="D337" s="23" t="s">
        <v>574</v>
      </c>
      <c r="E337" s="11"/>
      <c r="F337" s="23" t="s">
        <v>1150</v>
      </c>
      <c r="G337" s="23" t="s">
        <v>1151</v>
      </c>
      <c r="H337" s="11">
        <v>10</v>
      </c>
      <c r="I337" s="24">
        <v>45</v>
      </c>
      <c r="J337" s="24">
        <v>450</v>
      </c>
      <c r="K337" s="11" t="s">
        <v>17</v>
      </c>
      <c r="L337" s="19"/>
      <c r="M337" s="11" t="s">
        <v>31</v>
      </c>
    </row>
    <row r="338" spans="2:13" s="15" customFormat="1" ht="15" customHeight="1" x14ac:dyDescent="0.25">
      <c r="B338" s="11" t="s">
        <v>1152</v>
      </c>
      <c r="C338" s="16">
        <v>45378</v>
      </c>
      <c r="D338" s="23" t="s">
        <v>642</v>
      </c>
      <c r="E338" s="11"/>
      <c r="F338" s="23" t="s">
        <v>1153</v>
      </c>
      <c r="G338" s="23" t="s">
        <v>1154</v>
      </c>
      <c r="H338" s="11">
        <v>50</v>
      </c>
      <c r="I338" s="24">
        <v>15.85</v>
      </c>
      <c r="J338" s="24">
        <v>792.5</v>
      </c>
      <c r="K338" s="11" t="s">
        <v>17</v>
      </c>
      <c r="L338" s="19"/>
      <c r="M338" s="11" t="s">
        <v>31</v>
      </c>
    </row>
    <row r="339" spans="2:13" s="15" customFormat="1" ht="15" customHeight="1" x14ac:dyDescent="0.25">
      <c r="B339" s="11" t="s">
        <v>1155</v>
      </c>
      <c r="C339" s="16">
        <v>45378</v>
      </c>
      <c r="D339" s="23" t="s">
        <v>1156</v>
      </c>
      <c r="E339" s="11"/>
      <c r="F339" s="23" t="s">
        <v>90</v>
      </c>
      <c r="G339" s="23" t="s">
        <v>1157</v>
      </c>
      <c r="H339" s="11">
        <v>42</v>
      </c>
      <c r="I339" s="24">
        <v>30</v>
      </c>
      <c r="J339" s="24">
        <v>1260</v>
      </c>
      <c r="K339" s="11" t="s">
        <v>25</v>
      </c>
      <c r="L339" s="19"/>
      <c r="M339" s="11" t="s">
        <v>31</v>
      </c>
    </row>
    <row r="340" spans="2:13" s="15" customFormat="1" ht="15" customHeight="1" x14ac:dyDescent="0.25">
      <c r="B340" s="11" t="s">
        <v>1158</v>
      </c>
      <c r="C340" s="16">
        <v>45384</v>
      </c>
      <c r="D340" s="23" t="s">
        <v>1159</v>
      </c>
      <c r="E340" s="11"/>
      <c r="F340" s="23" t="s">
        <v>1160</v>
      </c>
      <c r="G340" s="23" t="s">
        <v>1161</v>
      </c>
      <c r="H340" s="11">
        <v>30</v>
      </c>
      <c r="I340" s="24">
        <v>58.35</v>
      </c>
      <c r="J340" s="24">
        <v>1750.5</v>
      </c>
      <c r="K340" s="11" t="s">
        <v>25</v>
      </c>
      <c r="L340" s="19"/>
      <c r="M340" s="11" t="s">
        <v>31</v>
      </c>
    </row>
    <row r="341" spans="2:13" s="15" customFormat="1" ht="15" customHeight="1" x14ac:dyDescent="0.25">
      <c r="B341" s="11" t="s">
        <v>1162</v>
      </c>
      <c r="C341" s="16">
        <v>45379</v>
      </c>
      <c r="D341" s="23" t="s">
        <v>1163</v>
      </c>
      <c r="E341" s="11"/>
      <c r="F341" s="23" t="s">
        <v>1164</v>
      </c>
      <c r="G341" s="23" t="s">
        <v>1165</v>
      </c>
      <c r="H341" s="11">
        <v>500</v>
      </c>
      <c r="I341" s="24"/>
      <c r="J341" s="24">
        <v>17000</v>
      </c>
      <c r="K341" s="11" t="s">
        <v>17</v>
      </c>
      <c r="L341" s="19"/>
      <c r="M341" s="11" t="s">
        <v>18</v>
      </c>
    </row>
    <row r="342" spans="2:13" s="15" customFormat="1" ht="15" customHeight="1" x14ac:dyDescent="0.25">
      <c r="B342" s="11" t="s">
        <v>1166</v>
      </c>
      <c r="C342" s="16">
        <v>45383</v>
      </c>
      <c r="D342" s="23" t="s">
        <v>1167</v>
      </c>
      <c r="E342" s="11"/>
      <c r="F342" s="23" t="s">
        <v>1168</v>
      </c>
      <c r="G342" s="31" t="s">
        <v>1169</v>
      </c>
      <c r="H342" s="11">
        <v>21</v>
      </c>
      <c r="I342" s="24">
        <v>59.5</v>
      </c>
      <c r="J342" s="24">
        <v>1249.5</v>
      </c>
      <c r="K342" s="11" t="s">
        <v>25</v>
      </c>
      <c r="L342" s="19" t="s">
        <v>835</v>
      </c>
      <c r="M342" s="11" t="s">
        <v>31</v>
      </c>
    </row>
    <row r="343" spans="2:13" s="15" customFormat="1" ht="15" customHeight="1" x14ac:dyDescent="0.25">
      <c r="B343" s="11" t="s">
        <v>1170</v>
      </c>
      <c r="C343" s="16">
        <v>45383</v>
      </c>
      <c r="D343" s="23" t="s">
        <v>654</v>
      </c>
      <c r="E343" s="11"/>
      <c r="F343" s="23" t="s">
        <v>1072</v>
      </c>
      <c r="G343" s="23" t="s">
        <v>1171</v>
      </c>
      <c r="H343" s="11">
        <v>1000</v>
      </c>
      <c r="I343" s="24">
        <v>3.9249999999999998</v>
      </c>
      <c r="J343" s="24">
        <v>3925</v>
      </c>
      <c r="K343" s="11" t="s">
        <v>25</v>
      </c>
      <c r="L343" s="19"/>
      <c r="M343" s="11" t="s">
        <v>18</v>
      </c>
    </row>
    <row r="344" spans="2:13" s="15" customFormat="1" ht="15" customHeight="1" x14ac:dyDescent="0.25">
      <c r="B344" s="11" t="s">
        <v>1172</v>
      </c>
      <c r="C344" s="16">
        <v>45383</v>
      </c>
      <c r="D344" s="23" t="s">
        <v>605</v>
      </c>
      <c r="E344" s="11"/>
      <c r="F344" s="23" t="s">
        <v>596</v>
      </c>
      <c r="G344" s="23" t="s">
        <v>1173</v>
      </c>
      <c r="H344" s="11">
        <v>4000</v>
      </c>
      <c r="I344" s="24">
        <v>1.58</v>
      </c>
      <c r="J344" s="24">
        <v>6480</v>
      </c>
      <c r="K344" s="11" t="s">
        <v>25</v>
      </c>
      <c r="L344" s="19"/>
      <c r="M344" s="11" t="s">
        <v>18</v>
      </c>
    </row>
    <row r="345" spans="2:13" s="15" customFormat="1" ht="15" customHeight="1" x14ac:dyDescent="0.25">
      <c r="B345" s="11" t="s">
        <v>1174</v>
      </c>
      <c r="C345" s="16">
        <v>45386</v>
      </c>
      <c r="D345" s="23" t="s">
        <v>1175</v>
      </c>
      <c r="E345" s="11"/>
      <c r="F345" s="23" t="s">
        <v>1176</v>
      </c>
      <c r="G345" s="23" t="s">
        <v>1177</v>
      </c>
      <c r="H345" s="11">
        <v>85</v>
      </c>
      <c r="I345" s="24"/>
      <c r="J345" s="24">
        <v>6957.25</v>
      </c>
      <c r="K345" s="11" t="s">
        <v>25</v>
      </c>
      <c r="L345" s="19"/>
      <c r="M345" s="11" t="s">
        <v>18</v>
      </c>
    </row>
    <row r="346" spans="2:13" s="15" customFormat="1" ht="15" customHeight="1" x14ac:dyDescent="0.25">
      <c r="B346" s="11" t="s">
        <v>1178</v>
      </c>
      <c r="C346" s="16">
        <v>45386</v>
      </c>
      <c r="D346" s="23" t="s">
        <v>40</v>
      </c>
      <c r="E346" s="11"/>
      <c r="F346" s="23" t="s">
        <v>900</v>
      </c>
      <c r="G346" s="31" t="s">
        <v>756</v>
      </c>
      <c r="H346" s="11">
        <v>5000</v>
      </c>
      <c r="I346" s="24">
        <v>0.43</v>
      </c>
      <c r="J346" s="24">
        <v>2148</v>
      </c>
      <c r="K346" s="11" t="s">
        <v>25</v>
      </c>
      <c r="L346" s="19"/>
      <c r="M346" s="11" t="s">
        <v>18</v>
      </c>
    </row>
    <row r="347" spans="2:13" s="15" customFormat="1" ht="15" customHeight="1" x14ac:dyDescent="0.25">
      <c r="B347" s="11" t="s">
        <v>1179</v>
      </c>
      <c r="C347" s="16">
        <v>45386</v>
      </c>
      <c r="D347" s="23" t="s">
        <v>40</v>
      </c>
      <c r="E347" s="11"/>
      <c r="F347" s="23" t="s">
        <v>1180</v>
      </c>
      <c r="G347" t="s">
        <v>1181</v>
      </c>
      <c r="H347" s="11" t="s">
        <v>1182</v>
      </c>
      <c r="I347" s="24">
        <v>235</v>
      </c>
      <c r="J347" s="24">
        <v>2115</v>
      </c>
      <c r="K347" s="11" t="s">
        <v>25</v>
      </c>
      <c r="L347" s="19"/>
      <c r="M347" s="11" t="s">
        <v>18</v>
      </c>
    </row>
    <row r="348" spans="2:13" s="15" customFormat="1" ht="15" customHeight="1" x14ac:dyDescent="0.25">
      <c r="B348" s="11" t="s">
        <v>1183</v>
      </c>
      <c r="C348" s="16">
        <v>45386</v>
      </c>
      <c r="D348" s="23" t="s">
        <v>1184</v>
      </c>
      <c r="E348" s="11"/>
      <c r="F348" s="23" t="s">
        <v>1185</v>
      </c>
      <c r="G348" s="23" t="s">
        <v>1186</v>
      </c>
      <c r="H348" s="11">
        <v>15</v>
      </c>
      <c r="I348" s="24"/>
      <c r="J348" s="24">
        <v>1205</v>
      </c>
      <c r="K348" s="11" t="s">
        <v>25</v>
      </c>
      <c r="L348" s="19" t="s">
        <v>762</v>
      </c>
      <c r="M348" s="11" t="s">
        <v>31</v>
      </c>
    </row>
    <row r="349" spans="2:13" s="15" customFormat="1" ht="15" customHeight="1" x14ac:dyDescent="0.25">
      <c r="B349" s="11" t="s">
        <v>1187</v>
      </c>
      <c r="C349" s="16">
        <v>45386</v>
      </c>
      <c r="D349" s="23" t="s">
        <v>1188</v>
      </c>
      <c r="E349" s="11"/>
      <c r="F349" s="23" t="s">
        <v>1189</v>
      </c>
      <c r="G349" s="23"/>
      <c r="H349" s="11">
        <v>95</v>
      </c>
      <c r="I349" s="24"/>
      <c r="J349" s="24">
        <v>0</v>
      </c>
      <c r="K349" s="11" t="s">
        <v>25</v>
      </c>
      <c r="L349" s="19"/>
      <c r="M349" s="11" t="s">
        <v>18</v>
      </c>
    </row>
    <row r="350" spans="2:13" s="15" customFormat="1" ht="15" customHeight="1" x14ac:dyDescent="0.25">
      <c r="B350" s="11" t="s">
        <v>1190</v>
      </c>
      <c r="C350" s="16">
        <v>45386</v>
      </c>
      <c r="D350" s="23" t="s">
        <v>154</v>
      </c>
      <c r="E350" s="11"/>
      <c r="F350" t="s">
        <v>1191</v>
      </c>
      <c r="G350" s="23" t="s">
        <v>1192</v>
      </c>
      <c r="H350" s="11">
        <v>1</v>
      </c>
      <c r="I350" s="24">
        <v>325</v>
      </c>
      <c r="J350" s="24">
        <v>325</v>
      </c>
      <c r="K350" s="11" t="s">
        <v>25</v>
      </c>
      <c r="L350" s="19"/>
      <c r="M350" s="11" t="s">
        <v>31</v>
      </c>
    </row>
    <row r="351" spans="2:13" s="15" customFormat="1" ht="15" customHeight="1" x14ac:dyDescent="0.25">
      <c r="B351" s="11" t="s">
        <v>1193</v>
      </c>
      <c r="C351" s="16">
        <v>45386</v>
      </c>
      <c r="D351" s="23" t="s">
        <v>1188</v>
      </c>
      <c r="E351" s="11"/>
      <c r="F351" s="23" t="s">
        <v>1078</v>
      </c>
      <c r="G351" s="31"/>
      <c r="H351" s="11">
        <v>95</v>
      </c>
      <c r="I351" s="24"/>
      <c r="J351" s="24">
        <v>0</v>
      </c>
      <c r="K351" s="11" t="s">
        <v>25</v>
      </c>
      <c r="L351" s="19"/>
      <c r="M351" s="11" t="s">
        <v>18</v>
      </c>
    </row>
    <row r="352" spans="2:13" s="15" customFormat="1" ht="15" customHeight="1" x14ac:dyDescent="0.25">
      <c r="B352" s="11" t="s">
        <v>1194</v>
      </c>
      <c r="C352" s="16">
        <v>45399</v>
      </c>
      <c r="D352" s="23" t="s">
        <v>241</v>
      </c>
      <c r="E352" s="11"/>
      <c r="F352" s="23" t="s">
        <v>197</v>
      </c>
      <c r="G352" s="31" t="s">
        <v>1195</v>
      </c>
      <c r="H352" s="11" t="s">
        <v>1025</v>
      </c>
      <c r="I352" s="24"/>
      <c r="J352" s="24">
        <v>405</v>
      </c>
      <c r="K352" s="11" t="s">
        <v>17</v>
      </c>
      <c r="L352" s="19"/>
      <c r="M352" s="11" t="s">
        <v>31</v>
      </c>
    </row>
    <row r="353" spans="2:13" s="15" customFormat="1" ht="15" customHeight="1" x14ac:dyDescent="0.25">
      <c r="B353" s="11" t="s">
        <v>1196</v>
      </c>
      <c r="C353" s="16">
        <v>45400</v>
      </c>
      <c r="D353" s="23" t="s">
        <v>273</v>
      </c>
      <c r="E353" s="11"/>
      <c r="F353" s="23" t="s">
        <v>1197</v>
      </c>
      <c r="G353" s="23"/>
      <c r="H353" s="11"/>
      <c r="I353" s="24"/>
      <c r="J353" s="24">
        <v>2019</v>
      </c>
      <c r="K353" s="11" t="s">
        <v>25</v>
      </c>
      <c r="L353" s="19"/>
      <c r="M353" s="11" t="s">
        <v>18</v>
      </c>
    </row>
    <row r="354" spans="2:13" s="15" customFormat="1" ht="15" customHeight="1" x14ac:dyDescent="0.25">
      <c r="B354" s="11" t="s">
        <v>1198</v>
      </c>
      <c r="C354" s="16">
        <v>45400</v>
      </c>
      <c r="D354" s="23" t="s">
        <v>1199</v>
      </c>
      <c r="E354" s="11"/>
      <c r="F354" s="23" t="s">
        <v>1200</v>
      </c>
      <c r="G354" s="23" t="s">
        <v>1201</v>
      </c>
      <c r="H354" s="11">
        <v>300</v>
      </c>
      <c r="I354" s="24">
        <v>4.1500000000000004</v>
      </c>
      <c r="J354" s="24">
        <v>1245</v>
      </c>
      <c r="K354" s="11" t="s">
        <v>25</v>
      </c>
      <c r="L354" s="19"/>
      <c r="M354" s="11" t="s">
        <v>18</v>
      </c>
    </row>
    <row r="355" spans="2:13" s="15" customFormat="1" ht="15" customHeight="1" x14ac:dyDescent="0.25">
      <c r="B355" s="11" t="s">
        <v>1202</v>
      </c>
      <c r="C355" s="16">
        <v>45400</v>
      </c>
      <c r="D355" s="23" t="s">
        <v>1199</v>
      </c>
      <c r="E355" s="11"/>
      <c r="F355" s="23" t="s">
        <v>1203</v>
      </c>
      <c r="G355" s="31" t="s">
        <v>1204</v>
      </c>
      <c r="H355" s="11">
        <v>1</v>
      </c>
      <c r="I355" s="24">
        <v>4750</v>
      </c>
      <c r="J355" s="24">
        <v>4750</v>
      </c>
      <c r="K355" s="11" t="s">
        <v>25</v>
      </c>
      <c r="L355" s="19"/>
      <c r="M355" s="11" t="s">
        <v>18</v>
      </c>
    </row>
    <row r="356" spans="2:13" s="15" customFormat="1" ht="15" customHeight="1" x14ac:dyDescent="0.25">
      <c r="B356" s="11" t="s">
        <v>1205</v>
      </c>
      <c r="C356" s="16">
        <v>45387</v>
      </c>
      <c r="D356" s="23" t="s">
        <v>1188</v>
      </c>
      <c r="E356" s="11"/>
      <c r="F356" s="23" t="s">
        <v>1206</v>
      </c>
      <c r="G356" s="23" t="s">
        <v>1207</v>
      </c>
      <c r="H356" s="11">
        <v>95</v>
      </c>
      <c r="I356" s="24">
        <v>228</v>
      </c>
      <c r="J356" s="24">
        <v>0</v>
      </c>
      <c r="K356" s="11" t="s">
        <v>25</v>
      </c>
      <c r="L356" s="19"/>
      <c r="M356" s="11" t="s">
        <v>18</v>
      </c>
    </row>
    <row r="357" spans="2:13" s="15" customFormat="1" ht="15" customHeight="1" x14ac:dyDescent="0.25">
      <c r="B357" s="11" t="s">
        <v>1208</v>
      </c>
      <c r="C357" s="16">
        <v>45387</v>
      </c>
      <c r="D357" s="23" t="s">
        <v>1188</v>
      </c>
      <c r="E357" s="11"/>
      <c r="F357" s="23" t="s">
        <v>1206</v>
      </c>
      <c r="G357" s="23"/>
      <c r="H357" s="11">
        <v>95</v>
      </c>
      <c r="I357" s="24">
        <v>0</v>
      </c>
      <c r="J357" s="24">
        <v>0</v>
      </c>
      <c r="K357" s="11" t="s">
        <v>25</v>
      </c>
      <c r="L357" s="19"/>
      <c r="M357" s="11" t="s">
        <v>18</v>
      </c>
    </row>
    <row r="358" spans="2:13" s="15" customFormat="1" ht="15" customHeight="1" x14ac:dyDescent="0.25">
      <c r="B358" s="11" t="s">
        <v>1209</v>
      </c>
      <c r="C358" s="16">
        <v>45387</v>
      </c>
      <c r="D358" s="23" t="s">
        <v>1188</v>
      </c>
      <c r="E358" s="11"/>
      <c r="F358" s="23" t="s">
        <v>1206</v>
      </c>
      <c r="G358" s="31" t="s">
        <v>1210</v>
      </c>
      <c r="H358" s="11">
        <v>95</v>
      </c>
      <c r="I358" s="24"/>
      <c r="J358" s="24">
        <v>27360</v>
      </c>
      <c r="K358" s="11" t="s">
        <v>25</v>
      </c>
      <c r="L358" s="19"/>
      <c r="M358" s="11" t="s">
        <v>31</v>
      </c>
    </row>
    <row r="359" spans="2:13" s="15" customFormat="1" ht="15" customHeight="1" x14ac:dyDescent="0.25">
      <c r="B359" s="11" t="s">
        <v>1211</v>
      </c>
      <c r="C359" s="16">
        <v>45397</v>
      </c>
      <c r="D359" s="23" t="s">
        <v>44</v>
      </c>
      <c r="E359" s="11"/>
      <c r="F359" s="23" t="s">
        <v>1212</v>
      </c>
      <c r="G359" s="31" t="s">
        <v>1213</v>
      </c>
      <c r="H359" s="11" t="s">
        <v>1214</v>
      </c>
      <c r="I359" s="24">
        <v>275</v>
      </c>
      <c r="J359" s="24">
        <v>825</v>
      </c>
      <c r="K359" s="11" t="s">
        <v>17</v>
      </c>
      <c r="L359" s="19"/>
      <c r="M359" s="11" t="s">
        <v>31</v>
      </c>
    </row>
    <row r="360" spans="2:13" s="15" customFormat="1" ht="15" customHeight="1" x14ac:dyDescent="0.25">
      <c r="B360" s="11" t="s">
        <v>1215</v>
      </c>
      <c r="C360" s="16">
        <v>45397</v>
      </c>
      <c r="D360" s="23" t="s">
        <v>1216</v>
      </c>
      <c r="E360" s="11"/>
      <c r="F360" s="23" t="s">
        <v>1217</v>
      </c>
      <c r="G360" s="31" t="s">
        <v>1218</v>
      </c>
      <c r="H360" s="11">
        <v>1</v>
      </c>
      <c r="I360" s="24">
        <v>261.89999999999998</v>
      </c>
      <c r="J360" s="24">
        <v>261.89999999999998</v>
      </c>
      <c r="K360" s="11" t="s">
        <v>25</v>
      </c>
      <c r="L360" s="19"/>
      <c r="M360" s="11" t="s">
        <v>18</v>
      </c>
    </row>
    <row r="361" spans="2:13" s="15" customFormat="1" ht="15" customHeight="1" x14ac:dyDescent="0.25">
      <c r="B361" s="11" t="s">
        <v>1219</v>
      </c>
      <c r="C361" s="16">
        <v>45397</v>
      </c>
      <c r="D361" s="23" t="s">
        <v>429</v>
      </c>
      <c r="E361" s="11"/>
      <c r="F361" s="23" t="s">
        <v>770</v>
      </c>
      <c r="G361" s="23" t="s">
        <v>1220</v>
      </c>
      <c r="H361" s="11">
        <v>200</v>
      </c>
      <c r="I361" s="24">
        <v>1.88</v>
      </c>
      <c r="J361" s="24">
        <v>375</v>
      </c>
      <c r="K361" s="11" t="s">
        <v>25</v>
      </c>
      <c r="L361" s="19"/>
      <c r="M361" s="11" t="s">
        <v>31</v>
      </c>
    </row>
    <row r="362" spans="2:13" s="15" customFormat="1" ht="15" customHeight="1" x14ac:dyDescent="0.25">
      <c r="B362" s="11" t="s">
        <v>1221</v>
      </c>
      <c r="C362" s="16">
        <v>45397</v>
      </c>
      <c r="D362" s="23" t="s">
        <v>1222</v>
      </c>
      <c r="E362" s="11"/>
      <c r="F362" s="23" t="s">
        <v>1223</v>
      </c>
      <c r="G362" s="23" t="s">
        <v>1224</v>
      </c>
      <c r="H362" s="11">
        <v>500</v>
      </c>
      <c r="I362" s="24"/>
      <c r="J362" s="24">
        <v>8200</v>
      </c>
      <c r="K362" s="11" t="s">
        <v>25</v>
      </c>
      <c r="L362" s="19"/>
      <c r="M362" s="11" t="s">
        <v>18</v>
      </c>
    </row>
    <row r="363" spans="2:13" s="15" customFormat="1" ht="15" customHeight="1" x14ac:dyDescent="0.25">
      <c r="B363" s="11" t="s">
        <v>1225</v>
      </c>
      <c r="C363" s="16">
        <v>45397</v>
      </c>
      <c r="D363" s="23" t="s">
        <v>154</v>
      </c>
      <c r="E363" s="11"/>
      <c r="F363" s="23" t="s">
        <v>1226</v>
      </c>
      <c r="G363" s="31" t="s">
        <v>1227</v>
      </c>
      <c r="H363" s="11">
        <v>30</v>
      </c>
      <c r="I363" s="24"/>
      <c r="J363" s="24">
        <v>1385</v>
      </c>
      <c r="K363" s="11" t="s">
        <v>25</v>
      </c>
      <c r="L363" s="19"/>
      <c r="M363" s="11" t="s">
        <v>18</v>
      </c>
    </row>
    <row r="364" spans="2:13" s="46" customFormat="1" ht="15" customHeight="1" x14ac:dyDescent="0.25">
      <c r="B364" s="11" t="s">
        <v>1228</v>
      </c>
      <c r="C364" s="16">
        <v>45397</v>
      </c>
      <c r="D364" s="47" t="s">
        <v>1229</v>
      </c>
      <c r="E364" s="11"/>
      <c r="F364" s="47" t="s">
        <v>1230</v>
      </c>
      <c r="G364" s="23"/>
      <c r="H364" s="45">
        <v>100</v>
      </c>
      <c r="I364" s="55"/>
      <c r="J364" s="55">
        <v>7095</v>
      </c>
      <c r="K364" s="11" t="s">
        <v>25</v>
      </c>
      <c r="L364" s="19"/>
      <c r="M364" s="11" t="s">
        <v>31</v>
      </c>
    </row>
    <row r="365" spans="2:13" s="15" customFormat="1" ht="15" customHeight="1" x14ac:dyDescent="0.25">
      <c r="B365" s="11" t="s">
        <v>1231</v>
      </c>
      <c r="C365" s="16">
        <v>45398</v>
      </c>
      <c r="D365" s="23" t="s">
        <v>1137</v>
      </c>
      <c r="E365" s="11"/>
      <c r="F365" s="23" t="s">
        <v>393</v>
      </c>
      <c r="G365" s="31" t="s">
        <v>1232</v>
      </c>
      <c r="H365" s="11">
        <v>500</v>
      </c>
      <c r="I365" s="24">
        <v>4.2</v>
      </c>
      <c r="J365" s="24">
        <v>2100</v>
      </c>
      <c r="K365" s="11" t="s">
        <v>25</v>
      </c>
      <c r="L365" s="19"/>
      <c r="M365" s="11" t="s">
        <v>31</v>
      </c>
    </row>
    <row r="366" spans="2:13" s="15" customFormat="1" ht="15" customHeight="1" x14ac:dyDescent="0.25">
      <c r="B366" s="11" t="s">
        <v>1233</v>
      </c>
      <c r="C366" s="16">
        <v>45400</v>
      </c>
      <c r="D366" s="23" t="s">
        <v>130</v>
      </c>
      <c r="E366" s="11"/>
      <c r="F366" t="s">
        <v>197</v>
      </c>
      <c r="G366" s="23" t="s">
        <v>264</v>
      </c>
      <c r="H366" s="11" t="s">
        <v>1234</v>
      </c>
      <c r="I366" s="24">
        <v>235</v>
      </c>
      <c r="J366" s="24">
        <v>470</v>
      </c>
      <c r="K366" s="11" t="s">
        <v>17</v>
      </c>
      <c r="L366" s="19"/>
      <c r="M366" s="11" t="s">
        <v>31</v>
      </c>
    </row>
    <row r="367" spans="2:13" s="15" customFormat="1" ht="15" customHeight="1" x14ac:dyDescent="0.25">
      <c r="B367" s="11" t="s">
        <v>1235</v>
      </c>
      <c r="C367" s="16">
        <v>45400</v>
      </c>
      <c r="D367" s="23" t="s">
        <v>574</v>
      </c>
      <c r="E367" s="11"/>
      <c r="F367" s="23" t="s">
        <v>1236</v>
      </c>
      <c r="G367" s="31" t="s">
        <v>1237</v>
      </c>
      <c r="H367" s="11">
        <v>100</v>
      </c>
      <c r="I367" s="24">
        <v>5.5</v>
      </c>
      <c r="J367" s="24">
        <v>550</v>
      </c>
      <c r="K367" s="11" t="s">
        <v>17</v>
      </c>
      <c r="L367" s="19"/>
      <c r="M367" s="11" t="s">
        <v>31</v>
      </c>
    </row>
    <row r="368" spans="2:13" s="15" customFormat="1" ht="15" customHeight="1" x14ac:dyDescent="0.25">
      <c r="B368" s="11" t="s">
        <v>1238</v>
      </c>
      <c r="C368" s="16">
        <v>45400</v>
      </c>
      <c r="D368" s="23" t="s">
        <v>574</v>
      </c>
      <c r="E368" s="11"/>
      <c r="F368" s="23" t="s">
        <v>1239</v>
      </c>
      <c r="G368" s="23" t="s">
        <v>1240</v>
      </c>
      <c r="H368" s="11">
        <v>1</v>
      </c>
      <c r="I368" s="24">
        <v>625</v>
      </c>
      <c r="J368" s="24">
        <v>625</v>
      </c>
      <c r="K368" s="11" t="s">
        <v>17</v>
      </c>
      <c r="L368" s="19"/>
      <c r="M368" s="11" t="s">
        <v>31</v>
      </c>
    </row>
    <row r="369" spans="2:13" s="15" customFormat="1" ht="15" customHeight="1" x14ac:dyDescent="0.25">
      <c r="B369" s="11" t="s">
        <v>1241</v>
      </c>
      <c r="C369" s="16">
        <v>45400</v>
      </c>
      <c r="D369" s="23" t="s">
        <v>203</v>
      </c>
      <c r="E369" s="11"/>
      <c r="F369" s="23" t="s">
        <v>1242</v>
      </c>
      <c r="G369" s="31" t="s">
        <v>1243</v>
      </c>
      <c r="H369" s="11">
        <v>34</v>
      </c>
      <c r="I369" s="24">
        <v>8.3800000000000008</v>
      </c>
      <c r="J369" s="24">
        <v>285</v>
      </c>
      <c r="K369" s="11" t="s">
        <v>17</v>
      </c>
      <c r="L369" s="19"/>
      <c r="M369" s="11" t="s">
        <v>31</v>
      </c>
    </row>
    <row r="370" spans="2:13" s="15" customFormat="1" ht="15" customHeight="1" x14ac:dyDescent="0.25">
      <c r="B370" s="11" t="s">
        <v>1244</v>
      </c>
      <c r="C370" s="16">
        <v>45400</v>
      </c>
      <c r="D370" s="23" t="s">
        <v>33</v>
      </c>
      <c r="E370" s="11"/>
      <c r="F370" s="23" t="s">
        <v>1245</v>
      </c>
      <c r="G370" s="23" t="s">
        <v>746</v>
      </c>
      <c r="H370" s="11">
        <v>150</v>
      </c>
      <c r="I370" s="24">
        <v>40</v>
      </c>
      <c r="J370" s="24">
        <v>6000</v>
      </c>
      <c r="K370" s="11" t="s">
        <v>25</v>
      </c>
      <c r="L370" s="19" t="s">
        <v>836</v>
      </c>
      <c r="M370" s="11" t="s">
        <v>31</v>
      </c>
    </row>
    <row r="371" spans="2:13" s="15" customFormat="1" ht="15" customHeight="1" x14ac:dyDescent="0.25">
      <c r="B371" s="11" t="s">
        <v>1246</v>
      </c>
      <c r="C371" s="16">
        <v>45400</v>
      </c>
      <c r="D371" s="23" t="s">
        <v>170</v>
      </c>
      <c r="E371" s="11"/>
      <c r="F371" s="23" t="s">
        <v>1247</v>
      </c>
      <c r="G371" s="23" t="s">
        <v>1248</v>
      </c>
      <c r="H371" s="11" t="s">
        <v>1025</v>
      </c>
      <c r="I371" s="24">
        <v>310</v>
      </c>
      <c r="J371" s="24">
        <v>310</v>
      </c>
      <c r="K371" s="11" t="s">
        <v>17</v>
      </c>
      <c r="L371" s="19"/>
      <c r="M371" s="11" t="s">
        <v>31</v>
      </c>
    </row>
    <row r="372" spans="2:13" s="15" customFormat="1" ht="15" customHeight="1" x14ac:dyDescent="0.25">
      <c r="B372" s="11" t="s">
        <v>1249</v>
      </c>
      <c r="C372" s="16">
        <v>45400</v>
      </c>
      <c r="D372" s="23" t="s">
        <v>1188</v>
      </c>
      <c r="E372" s="11"/>
      <c r="F372" s="23" t="s">
        <v>1250</v>
      </c>
      <c r="G372" s="23" t="s">
        <v>1251</v>
      </c>
      <c r="H372" s="11">
        <v>100</v>
      </c>
      <c r="I372" s="24"/>
      <c r="J372" s="24">
        <v>2180</v>
      </c>
      <c r="K372" s="11" t="s">
        <v>25</v>
      </c>
      <c r="L372" s="19"/>
      <c r="M372" s="11" t="s">
        <v>31</v>
      </c>
    </row>
    <row r="373" spans="2:13" s="15" customFormat="1" ht="15" customHeight="1" x14ac:dyDescent="0.25">
      <c r="B373" s="11" t="s">
        <v>1252</v>
      </c>
      <c r="C373" s="16">
        <v>45401</v>
      </c>
      <c r="D373" s="23" t="s">
        <v>130</v>
      </c>
      <c r="E373" s="11"/>
      <c r="F373" s="23" t="s">
        <v>1253</v>
      </c>
      <c r="G373" s="31" t="s">
        <v>1254</v>
      </c>
      <c r="H373" s="11" t="s">
        <v>1025</v>
      </c>
      <c r="I373" s="24">
        <v>375</v>
      </c>
      <c r="J373" s="24">
        <v>375</v>
      </c>
      <c r="K373" s="11" t="s">
        <v>17</v>
      </c>
      <c r="L373" s="19"/>
      <c r="M373" s="11" t="s">
        <v>31</v>
      </c>
    </row>
    <row r="374" spans="2:13" s="15" customFormat="1" ht="15" customHeight="1" x14ac:dyDescent="0.25">
      <c r="B374" s="11" t="s">
        <v>1255</v>
      </c>
      <c r="C374" s="16">
        <v>45401</v>
      </c>
      <c r="D374" s="23" t="s">
        <v>1060</v>
      </c>
      <c r="E374" s="11"/>
      <c r="F374" s="23" t="s">
        <v>1256</v>
      </c>
      <c r="G374" t="s">
        <v>1257</v>
      </c>
      <c r="H374" s="11"/>
      <c r="I374" s="24"/>
      <c r="J374" s="24">
        <v>972</v>
      </c>
      <c r="K374" s="11" t="s">
        <v>17</v>
      </c>
      <c r="L374" s="19"/>
      <c r="M374" s="11" t="s">
        <v>31</v>
      </c>
    </row>
    <row r="375" spans="2:13" s="15" customFormat="1" ht="15" customHeight="1" x14ac:dyDescent="0.25">
      <c r="B375" s="11" t="s">
        <v>1258</v>
      </c>
      <c r="C375" s="16">
        <v>45401</v>
      </c>
      <c r="D375" s="23" t="s">
        <v>1259</v>
      </c>
      <c r="E375" s="11"/>
      <c r="F375" s="23" t="s">
        <v>1260</v>
      </c>
      <c r="G375" s="23" t="s">
        <v>1261</v>
      </c>
      <c r="H375" s="11">
        <v>41</v>
      </c>
      <c r="I375" s="24">
        <v>4.95</v>
      </c>
      <c r="J375" s="24">
        <v>202.95</v>
      </c>
      <c r="K375" s="11" t="s">
        <v>17</v>
      </c>
      <c r="L375" s="19"/>
      <c r="M375" s="11" t="s">
        <v>31</v>
      </c>
    </row>
    <row r="376" spans="2:13" s="15" customFormat="1" ht="15" customHeight="1" x14ac:dyDescent="0.25">
      <c r="B376" s="11" t="s">
        <v>1262</v>
      </c>
      <c r="C376" s="16">
        <v>45432</v>
      </c>
      <c r="D376" s="23" t="s">
        <v>1263</v>
      </c>
      <c r="E376" s="11"/>
      <c r="F376" s="23" t="s">
        <v>1264</v>
      </c>
      <c r="G376" s="31" t="s">
        <v>1265</v>
      </c>
      <c r="H376" s="11">
        <v>60</v>
      </c>
      <c r="I376" s="24">
        <v>38.25</v>
      </c>
      <c r="J376" s="24">
        <v>2295</v>
      </c>
      <c r="K376" s="11" t="s">
        <v>17</v>
      </c>
      <c r="L376" s="19"/>
      <c r="M376" s="11" t="s">
        <v>18</v>
      </c>
    </row>
    <row r="377" spans="2:13" s="15" customFormat="1" ht="15" customHeight="1" x14ac:dyDescent="0.25">
      <c r="B377" s="11" t="s">
        <v>1266</v>
      </c>
      <c r="C377" s="16">
        <v>45404</v>
      </c>
      <c r="D377" s="23" t="s">
        <v>27</v>
      </c>
      <c r="E377" s="11"/>
      <c r="F377" s="23" t="s">
        <v>1267</v>
      </c>
      <c r="G377" s="23"/>
      <c r="H377" s="11">
        <v>80</v>
      </c>
      <c r="I377" s="24"/>
      <c r="J377" s="24">
        <v>3704</v>
      </c>
      <c r="K377" s="11" t="s">
        <v>17</v>
      </c>
      <c r="L377" s="19"/>
      <c r="M377" s="11" t="s">
        <v>31</v>
      </c>
    </row>
    <row r="378" spans="2:13" s="15" customFormat="1" ht="15" customHeight="1" x14ac:dyDescent="0.25">
      <c r="B378" s="11" t="s">
        <v>1268</v>
      </c>
      <c r="C378" s="16">
        <v>45406</v>
      </c>
      <c r="D378" s="23" t="s">
        <v>574</v>
      </c>
      <c r="E378" s="11"/>
      <c r="F378" s="23" t="s">
        <v>1269</v>
      </c>
      <c r="G378" s="23" t="s">
        <v>1270</v>
      </c>
      <c r="H378" s="11">
        <v>300</v>
      </c>
      <c r="I378" s="24">
        <v>3.58</v>
      </c>
      <c r="J378" s="24">
        <v>1075</v>
      </c>
      <c r="K378" s="11" t="s">
        <v>17</v>
      </c>
      <c r="L378" s="19"/>
      <c r="M378" s="11" t="s">
        <v>31</v>
      </c>
    </row>
    <row r="379" spans="2:13" s="15" customFormat="1" ht="15" customHeight="1" x14ac:dyDescent="0.25">
      <c r="B379" s="11" t="s">
        <v>1271</v>
      </c>
      <c r="C379" s="16">
        <v>45406</v>
      </c>
      <c r="D379" s="23" t="s">
        <v>27</v>
      </c>
      <c r="E379" s="11"/>
      <c r="F379" s="23" t="s">
        <v>28</v>
      </c>
      <c r="G379" s="23" t="s">
        <v>1272</v>
      </c>
      <c r="H379" s="11">
        <v>5</v>
      </c>
      <c r="I379" s="24">
        <v>38</v>
      </c>
      <c r="J379" s="24">
        <v>190</v>
      </c>
      <c r="K379" s="11" t="s">
        <v>17</v>
      </c>
      <c r="L379" s="19"/>
      <c r="M379" s="11" t="s">
        <v>31</v>
      </c>
    </row>
    <row r="380" spans="2:13" s="15" customFormat="1" ht="15" customHeight="1" x14ac:dyDescent="0.25">
      <c r="B380" s="11" t="s">
        <v>1273</v>
      </c>
      <c r="C380" s="16">
        <v>45406</v>
      </c>
      <c r="D380" s="23" t="s">
        <v>154</v>
      </c>
      <c r="E380" s="11"/>
      <c r="F380" s="23" t="s">
        <v>1274</v>
      </c>
      <c r="G380" s="31" t="s">
        <v>1275</v>
      </c>
      <c r="H380" s="11">
        <v>2</v>
      </c>
      <c r="I380" s="24">
        <v>175</v>
      </c>
      <c r="J380" s="24">
        <v>350</v>
      </c>
      <c r="K380" s="11" t="s">
        <v>25</v>
      </c>
      <c r="L380" s="19"/>
      <c r="M380" s="11" t="s">
        <v>18</v>
      </c>
    </row>
    <row r="381" spans="2:13" s="15" customFormat="1" ht="15" customHeight="1" x14ac:dyDescent="0.25">
      <c r="B381" s="11" t="s">
        <v>1276</v>
      </c>
      <c r="C381" s="16">
        <v>45406</v>
      </c>
      <c r="D381" s="23" t="s">
        <v>1277</v>
      </c>
      <c r="E381" s="11"/>
      <c r="F381" s="23" t="s">
        <v>1278</v>
      </c>
      <c r="G381" s="31" t="s">
        <v>1279</v>
      </c>
      <c r="H381" s="11">
        <v>10</v>
      </c>
      <c r="I381" s="24"/>
      <c r="J381" s="24">
        <v>2037.5</v>
      </c>
      <c r="K381" s="11" t="s">
        <v>1280</v>
      </c>
      <c r="L381" s="19"/>
      <c r="M381" s="11" t="s">
        <v>18</v>
      </c>
    </row>
    <row r="382" spans="2:13" s="15" customFormat="1" ht="15" customHeight="1" x14ac:dyDescent="0.25">
      <c r="B382" s="11" t="s">
        <v>1281</v>
      </c>
      <c r="C382" s="16">
        <v>45406</v>
      </c>
      <c r="D382" s="23" t="s">
        <v>574</v>
      </c>
      <c r="E382" s="11"/>
      <c r="F382" s="23" t="s">
        <v>1282</v>
      </c>
      <c r="G382" s="23" t="s">
        <v>1283</v>
      </c>
      <c r="H382" s="11">
        <v>75</v>
      </c>
      <c r="I382" s="24">
        <v>29.13</v>
      </c>
      <c r="J382" s="24">
        <v>2185</v>
      </c>
      <c r="K382" s="11" t="s">
        <v>17</v>
      </c>
      <c r="L382" s="19"/>
      <c r="M382" s="11" t="s">
        <v>31</v>
      </c>
    </row>
    <row r="383" spans="2:13" s="15" customFormat="1" ht="15" customHeight="1" x14ac:dyDescent="0.25">
      <c r="B383" s="11" t="s">
        <v>1284</v>
      </c>
      <c r="C383" s="16">
        <v>45421</v>
      </c>
      <c r="D383" s="23" t="s">
        <v>574</v>
      </c>
      <c r="E383" s="11"/>
      <c r="F383" s="23" t="s">
        <v>1285</v>
      </c>
      <c r="G383" s="23" t="s">
        <v>1283</v>
      </c>
      <c r="H383" s="11">
        <v>150</v>
      </c>
      <c r="I383" s="24">
        <v>72</v>
      </c>
      <c r="J383" s="24">
        <v>18800</v>
      </c>
      <c r="K383" s="11" t="s">
        <v>17</v>
      </c>
      <c r="L383" s="19"/>
      <c r="M383" s="11" t="s">
        <v>31</v>
      </c>
    </row>
    <row r="384" spans="2:13" s="15" customFormat="1" ht="15" customHeight="1" x14ac:dyDescent="0.25">
      <c r="B384" s="11" t="s">
        <v>1286</v>
      </c>
      <c r="C384" s="16">
        <v>45407</v>
      </c>
      <c r="D384" s="23" t="s">
        <v>381</v>
      </c>
      <c r="E384" s="11"/>
      <c r="F384" s="23" t="s">
        <v>1287</v>
      </c>
      <c r="G384" s="23" t="s">
        <v>1288</v>
      </c>
      <c r="H384" s="11">
        <v>5</v>
      </c>
      <c r="I384" s="24">
        <v>125</v>
      </c>
      <c r="J384" s="24">
        <v>625</v>
      </c>
      <c r="K384" s="11" t="s">
        <v>25</v>
      </c>
      <c r="L384" s="19"/>
      <c r="M384" s="11" t="s">
        <v>18</v>
      </c>
    </row>
    <row r="385" spans="2:13" s="15" customFormat="1" ht="15" customHeight="1" x14ac:dyDescent="0.25">
      <c r="B385" s="11" t="s">
        <v>1289</v>
      </c>
      <c r="C385" s="16">
        <v>45407</v>
      </c>
      <c r="D385" s="23" t="s">
        <v>429</v>
      </c>
      <c r="E385" s="11"/>
      <c r="F385" s="23" t="s">
        <v>1290</v>
      </c>
      <c r="G385" s="23"/>
      <c r="H385" s="11"/>
      <c r="I385" s="24"/>
      <c r="J385" s="24">
        <f>184.75+792.5+285+563.25</f>
        <v>1825.5</v>
      </c>
      <c r="K385" s="11" t="s">
        <v>25</v>
      </c>
      <c r="L385" s="19"/>
      <c r="M385" s="11" t="s">
        <v>31</v>
      </c>
    </row>
    <row r="386" spans="2:13" s="15" customFormat="1" ht="15" customHeight="1" x14ac:dyDescent="0.25">
      <c r="B386" s="11" t="s">
        <v>1291</v>
      </c>
      <c r="C386" s="16">
        <v>45407</v>
      </c>
      <c r="D386" s="23" t="s">
        <v>381</v>
      </c>
      <c r="E386" s="11"/>
      <c r="F386" s="23" t="s">
        <v>1292</v>
      </c>
      <c r="G386" s="23" t="s">
        <v>1293</v>
      </c>
      <c r="H386" s="11">
        <v>50</v>
      </c>
      <c r="I386" s="24">
        <v>89.1</v>
      </c>
      <c r="J386" s="24">
        <v>4455</v>
      </c>
      <c r="K386" s="11" t="s">
        <v>25</v>
      </c>
      <c r="L386" s="19"/>
      <c r="M386" s="11" t="s">
        <v>31</v>
      </c>
    </row>
    <row r="387" spans="2:13" s="15" customFormat="1" ht="15" customHeight="1" x14ac:dyDescent="0.25">
      <c r="B387" s="11" t="s">
        <v>1294</v>
      </c>
      <c r="C387" s="16">
        <v>45407</v>
      </c>
      <c r="D387" s="23" t="s">
        <v>1295</v>
      </c>
      <c r="E387" s="11"/>
      <c r="F387" s="23" t="s">
        <v>1296</v>
      </c>
      <c r="G387" s="23" t="s">
        <v>1297</v>
      </c>
      <c r="H387" s="11">
        <v>100</v>
      </c>
      <c r="I387" s="24">
        <v>14.25</v>
      </c>
      <c r="J387" s="24">
        <v>1425</v>
      </c>
      <c r="K387" s="11" t="s">
        <v>25</v>
      </c>
      <c r="L387" s="19"/>
      <c r="M387" s="11" t="s">
        <v>18</v>
      </c>
    </row>
    <row r="388" spans="2:13" s="15" customFormat="1" ht="15" customHeight="1" x14ac:dyDescent="0.25">
      <c r="B388" s="11" t="s">
        <v>1298</v>
      </c>
      <c r="C388" s="16">
        <v>45420</v>
      </c>
      <c r="D388" s="23" t="s">
        <v>1295</v>
      </c>
      <c r="E388" s="11"/>
      <c r="F388" s="23" t="s">
        <v>1299</v>
      </c>
      <c r="G388" s="23" t="s">
        <v>1300</v>
      </c>
      <c r="H388" s="11">
        <v>1000</v>
      </c>
      <c r="I388" s="24">
        <v>39.130000000000003</v>
      </c>
      <c r="J388" s="24">
        <v>37330</v>
      </c>
      <c r="K388" s="11" t="s">
        <v>25</v>
      </c>
      <c r="L388" s="19"/>
      <c r="M388" s="11" t="s">
        <v>31</v>
      </c>
    </row>
    <row r="389" spans="2:13" s="15" customFormat="1" ht="15" customHeight="1" x14ac:dyDescent="0.25">
      <c r="B389" s="11" t="s">
        <v>1301</v>
      </c>
      <c r="C389" s="16">
        <v>45407</v>
      </c>
      <c r="D389" s="23" t="s">
        <v>1302</v>
      </c>
      <c r="E389" s="11"/>
      <c r="F389" s="23" t="s">
        <v>197</v>
      </c>
      <c r="G389" s="23" t="s">
        <v>264</v>
      </c>
      <c r="H389" s="11" t="s">
        <v>1303</v>
      </c>
      <c r="I389" s="24">
        <v>125</v>
      </c>
      <c r="J389" s="24">
        <v>375</v>
      </c>
      <c r="K389" s="11" t="s">
        <v>25</v>
      </c>
      <c r="L389" s="19"/>
      <c r="M389" s="11" t="s">
        <v>31</v>
      </c>
    </row>
    <row r="390" spans="2:13" s="15" customFormat="1" ht="15" customHeight="1" x14ac:dyDescent="0.25">
      <c r="B390" s="11" t="s">
        <v>1304</v>
      </c>
      <c r="C390" s="16">
        <v>45408</v>
      </c>
      <c r="D390" s="23" t="s">
        <v>1305</v>
      </c>
      <c r="E390" s="11"/>
      <c r="F390" s="23" t="s">
        <v>575</v>
      </c>
      <c r="G390" s="23" t="s">
        <v>1306</v>
      </c>
      <c r="H390" s="11">
        <v>8</v>
      </c>
      <c r="I390" s="24">
        <v>94.25</v>
      </c>
      <c r="J390" s="24">
        <v>754</v>
      </c>
      <c r="K390" s="11" t="s">
        <v>25</v>
      </c>
      <c r="L390" s="19"/>
      <c r="M390" s="11" t="s">
        <v>31</v>
      </c>
    </row>
    <row r="391" spans="2:13" s="15" customFormat="1" ht="15" customHeight="1" x14ac:dyDescent="0.25">
      <c r="B391" s="11" t="s">
        <v>1307</v>
      </c>
      <c r="C391" s="16">
        <v>45408</v>
      </c>
      <c r="D391" s="23" t="s">
        <v>429</v>
      </c>
      <c r="E391" s="11"/>
      <c r="F391" s="23" t="s">
        <v>1308</v>
      </c>
      <c r="G391" s="31" t="s">
        <v>1309</v>
      </c>
      <c r="H391" s="11">
        <v>105</v>
      </c>
      <c r="I391" s="24">
        <v>11.75</v>
      </c>
      <c r="J391" s="24">
        <v>1233.75</v>
      </c>
      <c r="K391" s="11" t="s">
        <v>25</v>
      </c>
      <c r="L391" s="19"/>
      <c r="M391" s="11" t="s">
        <v>31</v>
      </c>
    </row>
    <row r="392" spans="2:13" s="15" customFormat="1" ht="15" customHeight="1" x14ac:dyDescent="0.25">
      <c r="B392" s="11" t="s">
        <v>1310</v>
      </c>
      <c r="C392" s="16">
        <v>45408</v>
      </c>
      <c r="D392" s="23" t="s">
        <v>1311</v>
      </c>
      <c r="E392" s="11"/>
      <c r="F392" s="23" t="s">
        <v>1312</v>
      </c>
      <c r="G392" s="23"/>
      <c r="H392" s="11">
        <v>50</v>
      </c>
      <c r="I392" s="24"/>
      <c r="J392" s="24">
        <v>1837.5</v>
      </c>
      <c r="K392" s="11" t="s">
        <v>25</v>
      </c>
      <c r="L392" s="19"/>
      <c r="M392" s="11" t="s">
        <v>18</v>
      </c>
    </row>
    <row r="393" spans="2:13" s="15" customFormat="1" ht="15" customHeight="1" x14ac:dyDescent="0.25">
      <c r="B393" s="11" t="s">
        <v>1313</v>
      </c>
      <c r="C393" s="16">
        <v>45408</v>
      </c>
      <c r="D393" s="23" t="s">
        <v>1314</v>
      </c>
      <c r="E393" s="11"/>
      <c r="F393" s="23" t="s">
        <v>1315</v>
      </c>
      <c r="G393" s="23"/>
      <c r="H393" s="11">
        <v>60</v>
      </c>
      <c r="I393" s="24"/>
      <c r="J393" s="24">
        <v>11865</v>
      </c>
      <c r="K393" s="11" t="s">
        <v>25</v>
      </c>
      <c r="L393" s="19"/>
      <c r="M393" s="11" t="s">
        <v>18</v>
      </c>
    </row>
    <row r="394" spans="2:13" s="15" customFormat="1" ht="15" customHeight="1" x14ac:dyDescent="0.25">
      <c r="B394" s="11" t="s">
        <v>1316</v>
      </c>
      <c r="C394" s="16">
        <v>45411</v>
      </c>
      <c r="D394" s="23" t="s">
        <v>429</v>
      </c>
      <c r="E394" s="11"/>
      <c r="F394" s="23" t="s">
        <v>1317</v>
      </c>
      <c r="G394" s="23" t="s">
        <v>1318</v>
      </c>
      <c r="H394" s="11">
        <v>85</v>
      </c>
      <c r="I394" s="24"/>
      <c r="J394" s="24">
        <v>395</v>
      </c>
      <c r="K394" s="11" t="s">
        <v>25</v>
      </c>
      <c r="L394" s="19"/>
      <c r="M394" s="11" t="s">
        <v>31</v>
      </c>
    </row>
    <row r="395" spans="2:13" s="15" customFormat="1" ht="15" customHeight="1" x14ac:dyDescent="0.25">
      <c r="B395" s="11" t="s">
        <v>942</v>
      </c>
      <c r="C395" s="16">
        <v>45411</v>
      </c>
      <c r="D395" s="23" t="s">
        <v>1311</v>
      </c>
      <c r="E395" s="11"/>
      <c r="F395" s="23" t="s">
        <v>1319</v>
      </c>
      <c r="G395" s="23" t="s">
        <v>1320</v>
      </c>
      <c r="H395" s="11">
        <v>40</v>
      </c>
      <c r="I395" s="24"/>
      <c r="J395" s="24">
        <v>1102</v>
      </c>
      <c r="K395" s="11" t="s">
        <v>25</v>
      </c>
      <c r="L395" s="19"/>
      <c r="M395" s="11" t="s">
        <v>18</v>
      </c>
    </row>
    <row r="396" spans="2:13" s="15" customFormat="1" ht="15" customHeight="1" x14ac:dyDescent="0.25">
      <c r="B396" s="11" t="s">
        <v>1321</v>
      </c>
      <c r="C396" s="16">
        <v>45411</v>
      </c>
      <c r="D396" s="23" t="s">
        <v>1322</v>
      </c>
      <c r="E396" s="11"/>
      <c r="F396" t="s">
        <v>1323</v>
      </c>
      <c r="G396" s="23" t="s">
        <v>1324</v>
      </c>
      <c r="H396" s="11">
        <v>2</v>
      </c>
      <c r="I396" s="24">
        <v>160</v>
      </c>
      <c r="J396" s="24">
        <v>320</v>
      </c>
      <c r="K396" s="11" t="s">
        <v>1280</v>
      </c>
      <c r="L396" s="19"/>
      <c r="M396" s="11" t="s">
        <v>18</v>
      </c>
    </row>
    <row r="397" spans="2:13" s="15" customFormat="1" ht="15" customHeight="1" x14ac:dyDescent="0.25">
      <c r="B397" s="11" t="s">
        <v>1325</v>
      </c>
      <c r="C397" s="16">
        <v>45411</v>
      </c>
      <c r="D397" s="23" t="s">
        <v>574</v>
      </c>
      <c r="E397" s="11"/>
      <c r="F397" s="23" t="s">
        <v>1326</v>
      </c>
      <c r="G397" s="23" t="s">
        <v>1327</v>
      </c>
      <c r="H397" s="11">
        <v>100</v>
      </c>
      <c r="I397" s="24"/>
      <c r="J397" s="24">
        <v>895</v>
      </c>
      <c r="K397" s="11" t="s">
        <v>17</v>
      </c>
      <c r="L397" s="19"/>
      <c r="M397" s="11" t="s">
        <v>31</v>
      </c>
    </row>
    <row r="398" spans="2:13" s="15" customFormat="1" ht="15" customHeight="1" x14ac:dyDescent="0.25">
      <c r="B398" s="11" t="s">
        <v>1328</v>
      </c>
      <c r="C398" s="16">
        <v>45411</v>
      </c>
      <c r="D398" s="23" t="s">
        <v>1060</v>
      </c>
      <c r="E398" s="11"/>
      <c r="F398" s="23" t="s">
        <v>1329</v>
      </c>
      <c r="G398" s="23" t="s">
        <v>1257</v>
      </c>
      <c r="H398" s="11"/>
      <c r="I398" s="24"/>
      <c r="J398" s="24">
        <v>375</v>
      </c>
      <c r="K398" s="11" t="s">
        <v>17</v>
      </c>
      <c r="L398" s="19"/>
      <c r="M398" s="11" t="s">
        <v>31</v>
      </c>
    </row>
    <row r="399" spans="2:13" s="15" customFormat="1" ht="15" customHeight="1" x14ac:dyDescent="0.25">
      <c r="B399" s="11" t="s">
        <v>1330</v>
      </c>
      <c r="C399" s="16">
        <v>45412</v>
      </c>
      <c r="D399" s="23" t="s">
        <v>463</v>
      </c>
      <c r="E399" s="11"/>
      <c r="F399" s="23" t="s">
        <v>468</v>
      </c>
      <c r="G399" s="23"/>
      <c r="H399" s="11">
        <v>1</v>
      </c>
      <c r="I399" s="24"/>
      <c r="J399" s="24">
        <v>825</v>
      </c>
      <c r="K399" s="11" t="s">
        <v>17</v>
      </c>
      <c r="L399" s="19"/>
      <c r="M399" s="11" t="s">
        <v>18</v>
      </c>
    </row>
    <row r="400" spans="2:13" s="15" customFormat="1" ht="15" customHeight="1" x14ac:dyDescent="0.25">
      <c r="B400" s="11" t="s">
        <v>1331</v>
      </c>
      <c r="C400" s="16">
        <v>45412</v>
      </c>
      <c r="D400" s="23" t="s">
        <v>1332</v>
      </c>
      <c r="E400" s="11"/>
      <c r="F400" s="23" t="s">
        <v>1333</v>
      </c>
      <c r="G400" s="23"/>
      <c r="H400" s="11">
        <v>500</v>
      </c>
      <c r="I400" s="24"/>
      <c r="J400" s="24">
        <v>350</v>
      </c>
      <c r="K400" s="11" t="s">
        <v>25</v>
      </c>
      <c r="L400" s="19"/>
      <c r="M400" s="11" t="s">
        <v>31</v>
      </c>
    </row>
    <row r="401" spans="2:13" s="15" customFormat="1" ht="15" customHeight="1" x14ac:dyDescent="0.25">
      <c r="B401" s="11" t="s">
        <v>1334</v>
      </c>
      <c r="C401" s="16">
        <v>45412</v>
      </c>
      <c r="D401" s="23" t="s">
        <v>1335</v>
      </c>
      <c r="E401" s="11"/>
      <c r="F401" s="23" t="s">
        <v>1336</v>
      </c>
      <c r="G401" s="23"/>
      <c r="H401" s="11"/>
      <c r="I401" s="24"/>
      <c r="J401" s="24">
        <v>570</v>
      </c>
      <c r="K401" s="11" t="s">
        <v>25</v>
      </c>
      <c r="L401" s="19"/>
      <c r="M401" s="11" t="s">
        <v>31</v>
      </c>
    </row>
    <row r="402" spans="2:13" s="15" customFormat="1" ht="15" customHeight="1" x14ac:dyDescent="0.25">
      <c r="B402" s="11" t="s">
        <v>1337</v>
      </c>
      <c r="C402" s="16">
        <v>45412</v>
      </c>
      <c r="D402" s="23" t="s">
        <v>1118</v>
      </c>
      <c r="E402" s="11"/>
      <c r="F402" s="23" t="s">
        <v>1338</v>
      </c>
      <c r="G402" s="31"/>
      <c r="H402" s="11">
        <v>4</v>
      </c>
      <c r="I402" s="24"/>
      <c r="J402" s="24">
        <v>932</v>
      </c>
      <c r="K402" s="11" t="s">
        <v>17</v>
      </c>
      <c r="L402" s="19"/>
      <c r="M402" s="11" t="s">
        <v>31</v>
      </c>
    </row>
    <row r="403" spans="2:13" s="15" customFormat="1" ht="15" customHeight="1" x14ac:dyDescent="0.25">
      <c r="B403" s="11" t="s">
        <v>1339</v>
      </c>
      <c r="C403" s="16">
        <v>45412</v>
      </c>
      <c r="D403" t="s">
        <v>241</v>
      </c>
      <c r="E403" s="11"/>
      <c r="F403" s="23" t="s">
        <v>197</v>
      </c>
      <c r="G403" s="23" t="s">
        <v>264</v>
      </c>
      <c r="H403" s="11" t="s">
        <v>1025</v>
      </c>
      <c r="I403" s="24"/>
      <c r="J403" s="24">
        <v>405</v>
      </c>
      <c r="K403" s="11" t="s">
        <v>17</v>
      </c>
      <c r="L403" s="19"/>
      <c r="M403" s="11" t="s">
        <v>31</v>
      </c>
    </row>
    <row r="404" spans="2:13" s="15" customFormat="1" ht="15" customHeight="1" x14ac:dyDescent="0.25">
      <c r="B404" s="11" t="s">
        <v>1340</v>
      </c>
      <c r="C404" s="16">
        <v>45413</v>
      </c>
      <c r="D404" s="23" t="s">
        <v>381</v>
      </c>
      <c r="E404" s="11"/>
      <c r="F404" s="23" t="s">
        <v>1341</v>
      </c>
      <c r="G404" s="23" t="s">
        <v>1342</v>
      </c>
      <c r="H404" s="11">
        <v>60</v>
      </c>
      <c r="I404" s="24"/>
      <c r="J404" s="24">
        <v>1086</v>
      </c>
      <c r="K404" s="11" t="s">
        <v>25</v>
      </c>
      <c r="L404" s="19"/>
      <c r="M404" s="11" t="s">
        <v>18</v>
      </c>
    </row>
    <row r="405" spans="2:13" s="15" customFormat="1" ht="15" customHeight="1" x14ac:dyDescent="0.25">
      <c r="B405" s="11" t="s">
        <v>1343</v>
      </c>
      <c r="C405" s="16">
        <v>45446</v>
      </c>
      <c r="D405" s="23" t="s">
        <v>589</v>
      </c>
      <c r="E405" s="11"/>
      <c r="F405" s="23" t="s">
        <v>1344</v>
      </c>
      <c r="G405" s="23" t="s">
        <v>440</v>
      </c>
      <c r="H405" s="11">
        <v>50</v>
      </c>
      <c r="I405" s="24">
        <v>56</v>
      </c>
      <c r="J405" s="24">
        <v>2800</v>
      </c>
      <c r="K405" s="11" t="s">
        <v>25</v>
      </c>
      <c r="L405" s="19" t="s">
        <v>1345</v>
      </c>
      <c r="M405" s="11" t="s">
        <v>31</v>
      </c>
    </row>
    <row r="406" spans="2:13" s="15" customFormat="1" ht="15" customHeight="1" x14ac:dyDescent="0.25">
      <c r="B406" s="11" t="s">
        <v>1346</v>
      </c>
      <c r="C406" s="16">
        <v>45413</v>
      </c>
      <c r="D406" s="23" t="s">
        <v>1347</v>
      </c>
      <c r="E406" s="11"/>
      <c r="F406" s="23" t="s">
        <v>1348</v>
      </c>
      <c r="G406" s="23" t="s">
        <v>1349</v>
      </c>
      <c r="H406" s="11">
        <v>1</v>
      </c>
      <c r="I406" s="24">
        <v>1400</v>
      </c>
      <c r="J406" s="24">
        <v>1400</v>
      </c>
      <c r="K406" s="11" t="s">
        <v>25</v>
      </c>
      <c r="L406" s="19"/>
      <c r="M406" s="11" t="s">
        <v>18</v>
      </c>
    </row>
    <row r="407" spans="2:13" s="15" customFormat="1" ht="15" customHeight="1" x14ac:dyDescent="0.25">
      <c r="B407" s="11" t="s">
        <v>1350</v>
      </c>
      <c r="C407" s="16">
        <v>45413</v>
      </c>
      <c r="D407" s="23" t="s">
        <v>907</v>
      </c>
      <c r="E407" s="11"/>
      <c r="F407" s="23" t="s">
        <v>1351</v>
      </c>
      <c r="G407" s="23" t="s">
        <v>771</v>
      </c>
      <c r="H407" s="11">
        <v>200</v>
      </c>
      <c r="I407" s="24">
        <v>11.95</v>
      </c>
      <c r="J407" s="24">
        <v>2390</v>
      </c>
      <c r="K407" s="11" t="s">
        <v>17</v>
      </c>
      <c r="L407" s="19"/>
      <c r="M407" s="11" t="s">
        <v>31</v>
      </c>
    </row>
    <row r="408" spans="2:13" s="15" customFormat="1" ht="15" customHeight="1" x14ac:dyDescent="0.25">
      <c r="B408" s="11" t="s">
        <v>1352</v>
      </c>
      <c r="C408" s="16">
        <v>45414</v>
      </c>
      <c r="D408" s="23" t="s">
        <v>211</v>
      </c>
      <c r="E408" s="11"/>
      <c r="F408" s="23" t="s">
        <v>212</v>
      </c>
      <c r="G408" s="23" t="s">
        <v>1353</v>
      </c>
      <c r="H408" s="11">
        <v>40</v>
      </c>
      <c r="I408" s="24"/>
      <c r="J408" s="24">
        <v>1310</v>
      </c>
      <c r="K408" s="11" t="s">
        <v>25</v>
      </c>
      <c r="L408" s="19"/>
      <c r="M408" s="11" t="s">
        <v>31</v>
      </c>
    </row>
    <row r="409" spans="2:13" s="15" customFormat="1" ht="15" customHeight="1" x14ac:dyDescent="0.25">
      <c r="B409" s="11" t="s">
        <v>1354</v>
      </c>
      <c r="C409" s="16">
        <v>45420</v>
      </c>
      <c r="D409" s="23" t="s">
        <v>1355</v>
      </c>
      <c r="E409" s="11"/>
      <c r="F409" s="23" t="s">
        <v>1356</v>
      </c>
      <c r="G409" s="31" t="s">
        <v>1357</v>
      </c>
      <c r="H409" s="11">
        <v>1</v>
      </c>
      <c r="I409" s="24"/>
      <c r="J409" s="24">
        <v>8335</v>
      </c>
      <c r="K409" s="11" t="s">
        <v>25</v>
      </c>
      <c r="L409" s="19"/>
      <c r="M409" s="11" t="s">
        <v>18</v>
      </c>
    </row>
    <row r="410" spans="2:13" s="15" customFormat="1" ht="15" customHeight="1" x14ac:dyDescent="0.25">
      <c r="B410" s="11" t="s">
        <v>1358</v>
      </c>
      <c r="C410" s="16">
        <v>45414</v>
      </c>
      <c r="D410" s="23" t="s">
        <v>1359</v>
      </c>
      <c r="E410" s="11"/>
      <c r="F410" s="23" t="s">
        <v>1360</v>
      </c>
      <c r="G410" s="31" t="s">
        <v>1361</v>
      </c>
      <c r="H410" s="11">
        <v>2</v>
      </c>
      <c r="I410" s="24"/>
      <c r="J410" s="24">
        <v>450</v>
      </c>
      <c r="K410" s="11" t="s">
        <v>17</v>
      </c>
      <c r="L410" s="19"/>
      <c r="M410" s="11" t="s">
        <v>18</v>
      </c>
    </row>
    <row r="411" spans="2:13" s="15" customFormat="1" ht="15" customHeight="1" x14ac:dyDescent="0.25">
      <c r="B411" s="11" t="s">
        <v>1362</v>
      </c>
      <c r="C411" s="16">
        <v>45415</v>
      </c>
      <c r="D411" s="23" t="s">
        <v>27</v>
      </c>
      <c r="E411" s="11"/>
      <c r="F411" s="23" t="s">
        <v>1363</v>
      </c>
      <c r="G411" s="23" t="s">
        <v>1363</v>
      </c>
      <c r="H411" s="11">
        <v>32</v>
      </c>
      <c r="I411" s="24"/>
      <c r="J411" s="24">
        <v>512</v>
      </c>
      <c r="K411" s="11" t="s">
        <v>17</v>
      </c>
      <c r="L411" s="19"/>
      <c r="M411" s="11" t="s">
        <v>31</v>
      </c>
    </row>
    <row r="412" spans="2:13" s="15" customFormat="1" ht="15" customHeight="1" x14ac:dyDescent="0.25">
      <c r="B412" s="11" t="s">
        <v>1364</v>
      </c>
      <c r="C412" s="16">
        <v>45414</v>
      </c>
      <c r="D412" s="23" t="s">
        <v>574</v>
      </c>
      <c r="E412" s="11"/>
      <c r="F412" s="23" t="s">
        <v>1365</v>
      </c>
      <c r="G412" s="23"/>
      <c r="H412" s="11">
        <v>200</v>
      </c>
      <c r="I412" s="24"/>
      <c r="J412" s="24">
        <v>1380</v>
      </c>
      <c r="K412" s="11" t="s">
        <v>17</v>
      </c>
      <c r="L412" s="19"/>
      <c r="M412" s="11" t="s">
        <v>31</v>
      </c>
    </row>
    <row r="413" spans="2:13" s="15" customFormat="1" ht="15" customHeight="1" x14ac:dyDescent="0.25">
      <c r="B413" s="11" t="s">
        <v>1366</v>
      </c>
      <c r="C413" s="16">
        <v>45414</v>
      </c>
      <c r="D413" s="23" t="s">
        <v>574</v>
      </c>
      <c r="E413" s="11"/>
      <c r="F413" s="23" t="s">
        <v>1367</v>
      </c>
      <c r="G413" s="23" t="s">
        <v>1368</v>
      </c>
      <c r="H413" s="11">
        <v>200</v>
      </c>
      <c r="I413" s="24"/>
      <c r="J413" s="24">
        <v>2625</v>
      </c>
      <c r="K413" s="11" t="s">
        <v>17</v>
      </c>
      <c r="L413" s="19"/>
      <c r="M413" s="11" t="s">
        <v>18</v>
      </c>
    </row>
    <row r="414" spans="2:13" s="15" customFormat="1" ht="15" customHeight="1" x14ac:dyDescent="0.25">
      <c r="B414" s="11" t="s">
        <v>1369</v>
      </c>
      <c r="C414" s="16">
        <v>45414</v>
      </c>
      <c r="D414" s="23" t="s">
        <v>574</v>
      </c>
      <c r="E414" s="11"/>
      <c r="F414" s="23" t="s">
        <v>1370</v>
      </c>
      <c r="G414" s="31" t="s">
        <v>1371</v>
      </c>
      <c r="H414" s="11" t="s">
        <v>1372</v>
      </c>
      <c r="I414" s="24"/>
      <c r="J414" s="24">
        <v>11250</v>
      </c>
      <c r="K414" s="11" t="s">
        <v>17</v>
      </c>
      <c r="L414" s="19"/>
      <c r="M414" s="11" t="s">
        <v>18</v>
      </c>
    </row>
    <row r="415" spans="2:13" s="15" customFormat="1" ht="15" customHeight="1" x14ac:dyDescent="0.25">
      <c r="B415" s="11" t="s">
        <v>1373</v>
      </c>
      <c r="C415" s="16">
        <v>45414</v>
      </c>
      <c r="D415" s="23" t="s">
        <v>255</v>
      </c>
      <c r="E415" s="11"/>
      <c r="F415" s="23" t="s">
        <v>1374</v>
      </c>
      <c r="G415" s="23" t="s">
        <v>1375</v>
      </c>
      <c r="H415" s="11">
        <v>1</v>
      </c>
      <c r="I415" s="24"/>
      <c r="J415" s="24">
        <v>3375</v>
      </c>
      <c r="K415" s="11" t="s">
        <v>17</v>
      </c>
      <c r="L415" s="19"/>
      <c r="M415" s="11" t="s">
        <v>18</v>
      </c>
    </row>
    <row r="416" spans="2:13" s="15" customFormat="1" ht="15" customHeight="1" x14ac:dyDescent="0.25">
      <c r="B416" s="11" t="s">
        <v>1376</v>
      </c>
      <c r="C416" s="16">
        <v>45415</v>
      </c>
      <c r="D416" s="23" t="s">
        <v>1377</v>
      </c>
      <c r="E416" s="11"/>
      <c r="F416" s="23" t="s">
        <v>1378</v>
      </c>
      <c r="G416" s="23"/>
      <c r="H416" s="11">
        <v>175</v>
      </c>
      <c r="I416" s="24"/>
      <c r="J416" s="24">
        <v>2056.25</v>
      </c>
      <c r="K416" s="11" t="s">
        <v>25</v>
      </c>
      <c r="L416" s="19"/>
      <c r="M416" s="11" t="s">
        <v>31</v>
      </c>
    </row>
    <row r="417" spans="2:13" s="15" customFormat="1" ht="15" customHeight="1" x14ac:dyDescent="0.25">
      <c r="B417" s="11" t="s">
        <v>1379</v>
      </c>
      <c r="C417" s="16">
        <v>45415</v>
      </c>
      <c r="D417" s="23" t="s">
        <v>429</v>
      </c>
      <c r="E417" s="11"/>
      <c r="F417" s="23" t="s">
        <v>1380</v>
      </c>
      <c r="G417" s="23"/>
      <c r="H417" s="11">
        <v>1</v>
      </c>
      <c r="I417" s="24"/>
      <c r="J417" s="24">
        <v>2750</v>
      </c>
      <c r="K417" s="11" t="s">
        <v>25</v>
      </c>
      <c r="L417" s="19"/>
      <c r="M417" s="11" t="s">
        <v>18</v>
      </c>
    </row>
    <row r="418" spans="2:13" s="15" customFormat="1" ht="15" customHeight="1" x14ac:dyDescent="0.25">
      <c r="B418" s="11" t="s">
        <v>1381</v>
      </c>
      <c r="C418" s="16">
        <v>45415</v>
      </c>
      <c r="D418" s="23" t="s">
        <v>1382</v>
      </c>
      <c r="E418" s="11"/>
      <c r="F418" s="23" t="s">
        <v>1383</v>
      </c>
      <c r="G418" s="23" t="s">
        <v>1384</v>
      </c>
      <c r="H418" s="11">
        <v>175</v>
      </c>
      <c r="I418" s="24">
        <v>11.03</v>
      </c>
      <c r="J418" s="24">
        <v>1930</v>
      </c>
      <c r="K418" s="11" t="s">
        <v>25</v>
      </c>
      <c r="L418" s="19"/>
      <c r="M418" s="11" t="s">
        <v>18</v>
      </c>
    </row>
    <row r="419" spans="2:13" s="15" customFormat="1" ht="15" customHeight="1" x14ac:dyDescent="0.25">
      <c r="B419" s="11" t="s">
        <v>1385</v>
      </c>
      <c r="C419" s="16">
        <v>45415</v>
      </c>
      <c r="D419" s="23" t="s">
        <v>241</v>
      </c>
      <c r="E419" s="11"/>
      <c r="F419" s="23" t="s">
        <v>22</v>
      </c>
      <c r="G419" s="23"/>
      <c r="H419" s="11" t="s">
        <v>1025</v>
      </c>
      <c r="I419" s="24">
        <v>405</v>
      </c>
      <c r="J419" s="24">
        <v>405</v>
      </c>
      <c r="K419" s="11" t="s">
        <v>17</v>
      </c>
      <c r="L419" s="19"/>
      <c r="M419" s="11" t="s">
        <v>31</v>
      </c>
    </row>
    <row r="420" spans="2:13" s="15" customFormat="1" ht="15" customHeight="1" x14ac:dyDescent="0.25">
      <c r="B420" s="11" t="s">
        <v>1386</v>
      </c>
      <c r="C420" s="16">
        <v>45418</v>
      </c>
      <c r="D420" s="23" t="s">
        <v>880</v>
      </c>
      <c r="E420" s="11"/>
      <c r="F420" s="23" t="s">
        <v>1387</v>
      </c>
      <c r="G420" s="23" t="s">
        <v>1116</v>
      </c>
      <c r="H420" s="11">
        <v>30</v>
      </c>
      <c r="I420" s="24">
        <v>19.850000000000001</v>
      </c>
      <c r="J420" s="24">
        <v>595.5</v>
      </c>
      <c r="K420" s="11" t="s">
        <v>17</v>
      </c>
      <c r="L420" s="19"/>
      <c r="M420" s="11" t="s">
        <v>18</v>
      </c>
    </row>
    <row r="421" spans="2:13" s="15" customFormat="1" ht="15" customHeight="1" x14ac:dyDescent="0.25">
      <c r="B421" s="11" t="s">
        <v>1388</v>
      </c>
      <c r="C421" s="16">
        <v>45418</v>
      </c>
      <c r="D421" s="23" t="s">
        <v>27</v>
      </c>
      <c r="E421" s="11"/>
      <c r="F421" s="23" t="s">
        <v>1389</v>
      </c>
      <c r="G421" s="23" t="s">
        <v>1390</v>
      </c>
      <c r="H421" s="63"/>
      <c r="I421" s="24"/>
      <c r="J421" s="24">
        <v>1600</v>
      </c>
      <c r="K421" s="11" t="s">
        <v>17</v>
      </c>
      <c r="L421" s="19"/>
      <c r="M421" s="11" t="s">
        <v>31</v>
      </c>
    </row>
    <row r="422" spans="2:13" s="15" customFormat="1" ht="15" customHeight="1" x14ac:dyDescent="0.25">
      <c r="B422" s="11" t="s">
        <v>1391</v>
      </c>
      <c r="C422" s="16">
        <v>45418</v>
      </c>
      <c r="D422" s="23" t="s">
        <v>1392</v>
      </c>
      <c r="E422" s="11"/>
      <c r="F422" s="23" t="s">
        <v>1393</v>
      </c>
      <c r="G422" s="23" t="s">
        <v>1394</v>
      </c>
      <c r="H422" s="63">
        <v>4</v>
      </c>
      <c r="I422" s="24"/>
      <c r="J422" s="24">
        <v>430</v>
      </c>
      <c r="K422" s="11" t="s">
        <v>25</v>
      </c>
      <c r="L422" s="19"/>
      <c r="M422" s="11" t="s">
        <v>31</v>
      </c>
    </row>
    <row r="423" spans="2:13" s="15" customFormat="1" ht="15" customHeight="1" x14ac:dyDescent="0.25">
      <c r="B423" s="11" t="s">
        <v>1395</v>
      </c>
      <c r="C423" s="16">
        <v>45447</v>
      </c>
      <c r="D423" s="23" t="s">
        <v>1098</v>
      </c>
      <c r="E423" s="11"/>
      <c r="F423" s="23" t="s">
        <v>1396</v>
      </c>
      <c r="G423" s="23" t="s">
        <v>1397</v>
      </c>
      <c r="H423" s="63">
        <v>250</v>
      </c>
      <c r="I423" s="24"/>
      <c r="J423" s="24">
        <v>5935</v>
      </c>
      <c r="K423" s="11" t="s">
        <v>17</v>
      </c>
      <c r="L423" s="19" t="s">
        <v>1398</v>
      </c>
      <c r="M423" s="11" t="s">
        <v>31</v>
      </c>
    </row>
    <row r="424" spans="2:13" s="15" customFormat="1" ht="15" customHeight="1" x14ac:dyDescent="0.25">
      <c r="B424" s="11" t="s">
        <v>1399</v>
      </c>
      <c r="C424" s="16">
        <v>45419</v>
      </c>
      <c r="D424" s="23" t="s">
        <v>1400</v>
      </c>
      <c r="E424" s="11"/>
      <c r="F424" s="23" t="s">
        <v>1401</v>
      </c>
      <c r="G424" s="31"/>
      <c r="H424" s="63">
        <v>100</v>
      </c>
      <c r="I424" s="24"/>
      <c r="J424" s="24">
        <f>5785</f>
        <v>5785</v>
      </c>
      <c r="K424" s="11" t="s">
        <v>17</v>
      </c>
      <c r="L424" s="19"/>
      <c r="M424" s="11" t="s">
        <v>31</v>
      </c>
    </row>
    <row r="425" spans="2:13" s="15" customFormat="1" ht="15" customHeight="1" x14ac:dyDescent="0.25">
      <c r="B425" s="11" t="s">
        <v>1402</v>
      </c>
      <c r="C425" s="16">
        <v>45419</v>
      </c>
      <c r="D425" s="23" t="s">
        <v>1403</v>
      </c>
      <c r="E425" s="11"/>
      <c r="F425" s="23" t="s">
        <v>1404</v>
      </c>
      <c r="G425" s="23" t="s">
        <v>1405</v>
      </c>
      <c r="H425" s="63">
        <v>1</v>
      </c>
      <c r="I425" s="24">
        <v>240</v>
      </c>
      <c r="J425" s="24">
        <v>240</v>
      </c>
      <c r="K425" s="11" t="s">
        <v>25</v>
      </c>
      <c r="L425" s="19"/>
      <c r="M425" s="11" t="s">
        <v>31</v>
      </c>
    </row>
    <row r="426" spans="2:13" s="15" customFormat="1" ht="15" customHeight="1" x14ac:dyDescent="0.25">
      <c r="B426" s="11" t="s">
        <v>1406</v>
      </c>
      <c r="C426" s="16">
        <v>45420</v>
      </c>
      <c r="D426" s="23" t="s">
        <v>907</v>
      </c>
      <c r="E426" s="11"/>
      <c r="F426" s="23" t="s">
        <v>1407</v>
      </c>
      <c r="G426" s="23"/>
      <c r="H426" s="64"/>
      <c r="I426" s="24"/>
      <c r="J426" s="24">
        <v>1020</v>
      </c>
      <c r="K426" s="11" t="s">
        <v>17</v>
      </c>
      <c r="L426" s="19"/>
      <c r="M426" s="11" t="s">
        <v>31</v>
      </c>
    </row>
    <row r="427" spans="2:13" s="15" customFormat="1" ht="15" customHeight="1" x14ac:dyDescent="0.25">
      <c r="B427" s="11" t="s">
        <v>1408</v>
      </c>
      <c r="C427" s="16">
        <v>45420</v>
      </c>
      <c r="D427" t="s">
        <v>1409</v>
      </c>
      <c r="E427" s="11"/>
      <c r="F427" s="23" t="s">
        <v>922</v>
      </c>
      <c r="G427" s="23" t="s">
        <v>1410</v>
      </c>
      <c r="H427" s="63">
        <v>100</v>
      </c>
      <c r="I427" s="24">
        <v>1.35</v>
      </c>
      <c r="J427" s="24">
        <v>135</v>
      </c>
      <c r="K427" s="11" t="s">
        <v>17</v>
      </c>
      <c r="L427" s="19"/>
      <c r="M427" s="11" t="s">
        <v>31</v>
      </c>
    </row>
    <row r="428" spans="2:13" s="15" customFormat="1" ht="15" customHeight="1" x14ac:dyDescent="0.25">
      <c r="B428" s="11" t="s">
        <v>1411</v>
      </c>
      <c r="C428" s="16">
        <v>45421</v>
      </c>
      <c r="D428" s="23" t="s">
        <v>1412</v>
      </c>
      <c r="E428" s="11"/>
      <c r="F428" s="23" t="s">
        <v>1413</v>
      </c>
      <c r="G428" s="23"/>
      <c r="H428" s="63"/>
      <c r="I428" s="24"/>
      <c r="J428" s="24">
        <v>2195</v>
      </c>
      <c r="K428" s="11" t="s">
        <v>25</v>
      </c>
      <c r="L428" s="19"/>
      <c r="M428" s="11" t="s">
        <v>31</v>
      </c>
    </row>
    <row r="429" spans="2:13" s="15" customFormat="1" ht="15" customHeight="1" x14ac:dyDescent="0.25">
      <c r="B429" s="11" t="s">
        <v>1414</v>
      </c>
      <c r="C429" s="16">
        <v>45421</v>
      </c>
      <c r="D429" s="23" t="s">
        <v>574</v>
      </c>
      <c r="E429" s="11"/>
      <c r="F429" s="23" t="s">
        <v>1415</v>
      </c>
      <c r="G429" s="31" t="s">
        <v>1416</v>
      </c>
      <c r="H429" s="63">
        <v>77</v>
      </c>
      <c r="I429" s="24">
        <v>4.75</v>
      </c>
      <c r="J429" s="24">
        <v>365.75</v>
      </c>
      <c r="K429" s="11" t="s">
        <v>17</v>
      </c>
      <c r="L429" s="19"/>
      <c r="M429" s="11" t="s">
        <v>31</v>
      </c>
    </row>
    <row r="430" spans="2:13" s="15" customFormat="1" ht="15" customHeight="1" x14ac:dyDescent="0.25">
      <c r="B430" s="11" t="s">
        <v>1417</v>
      </c>
      <c r="C430" s="16">
        <v>45421</v>
      </c>
      <c r="D430" s="23" t="s">
        <v>574</v>
      </c>
      <c r="E430" s="11"/>
      <c r="F430" s="23" t="s">
        <v>1418</v>
      </c>
      <c r="G430" s="31" t="s">
        <v>1419</v>
      </c>
      <c r="H430" s="63">
        <v>400</v>
      </c>
      <c r="I430" s="24">
        <v>1.06</v>
      </c>
      <c r="J430" s="24">
        <v>425</v>
      </c>
      <c r="K430" s="11" t="s">
        <v>17</v>
      </c>
      <c r="L430" s="19"/>
      <c r="M430" s="11" t="s">
        <v>31</v>
      </c>
    </row>
    <row r="431" spans="2:13" s="15" customFormat="1" ht="15" customHeight="1" x14ac:dyDescent="0.25">
      <c r="B431" s="11" t="s">
        <v>1420</v>
      </c>
      <c r="C431" s="16">
        <v>45421</v>
      </c>
      <c r="D431" s="23" t="s">
        <v>1302</v>
      </c>
      <c r="E431" s="11"/>
      <c r="F431" s="23" t="s">
        <v>1421</v>
      </c>
      <c r="G431" s="31" t="s">
        <v>1422</v>
      </c>
      <c r="H431" s="63">
        <v>100</v>
      </c>
      <c r="I431" s="24">
        <v>3.95</v>
      </c>
      <c r="J431" s="24">
        <v>395</v>
      </c>
      <c r="K431" s="11" t="s">
        <v>25</v>
      </c>
      <c r="L431" s="19"/>
      <c r="M431" s="11" t="s">
        <v>31</v>
      </c>
    </row>
    <row r="432" spans="2:13" s="15" customFormat="1" ht="15" customHeight="1" x14ac:dyDescent="0.25">
      <c r="B432" s="11" t="s">
        <v>1423</v>
      </c>
      <c r="C432" s="16">
        <v>45468</v>
      </c>
      <c r="D432" s="23" t="s">
        <v>574</v>
      </c>
      <c r="E432" s="11"/>
      <c r="F432" s="23" t="s">
        <v>1424</v>
      </c>
      <c r="G432" s="31" t="s">
        <v>331</v>
      </c>
      <c r="H432" s="63">
        <v>200</v>
      </c>
      <c r="I432" s="24"/>
      <c r="J432" s="24">
        <v>9150</v>
      </c>
      <c r="K432" s="11" t="s">
        <v>17</v>
      </c>
      <c r="L432" s="15" t="s">
        <v>1425</v>
      </c>
      <c r="M432" s="11" t="s">
        <v>31</v>
      </c>
    </row>
    <row r="433" spans="2:15" s="15" customFormat="1" ht="15" customHeight="1" x14ac:dyDescent="0.25">
      <c r="B433" s="11" t="s">
        <v>1426</v>
      </c>
      <c r="C433" s="16">
        <v>45421</v>
      </c>
      <c r="D433" s="23" t="s">
        <v>574</v>
      </c>
      <c r="E433" s="11"/>
      <c r="F433" s="23" t="s">
        <v>1427</v>
      </c>
      <c r="G433" s="31" t="s">
        <v>1428</v>
      </c>
      <c r="H433" s="63">
        <v>1</v>
      </c>
      <c r="I433" s="24">
        <v>325</v>
      </c>
      <c r="J433" s="24">
        <v>325</v>
      </c>
      <c r="K433" s="11" t="s">
        <v>17</v>
      </c>
      <c r="L433" s="19"/>
      <c r="M433" s="11" t="s">
        <v>18</v>
      </c>
    </row>
    <row r="434" spans="2:15" s="15" customFormat="1" ht="15" customHeight="1" x14ac:dyDescent="0.25">
      <c r="B434" s="11" t="s">
        <v>1429</v>
      </c>
      <c r="C434" s="16">
        <v>45425</v>
      </c>
      <c r="D434" s="23" t="s">
        <v>1430</v>
      </c>
      <c r="E434" s="11"/>
      <c r="F434" s="23" t="s">
        <v>1431</v>
      </c>
      <c r="G434" s="31" t="s">
        <v>1432</v>
      </c>
      <c r="H434" s="63">
        <v>1</v>
      </c>
      <c r="I434" s="24">
        <v>2235</v>
      </c>
      <c r="J434" s="24">
        <v>2235</v>
      </c>
      <c r="K434" s="11" t="s">
        <v>25</v>
      </c>
      <c r="L434" s="19"/>
      <c r="M434" s="11" t="s">
        <v>18</v>
      </c>
    </row>
    <row r="435" spans="2:15" s="15" customFormat="1" ht="15" customHeight="1" x14ac:dyDescent="0.25">
      <c r="B435" s="11" t="s">
        <v>1433</v>
      </c>
      <c r="C435" s="16">
        <v>45421</v>
      </c>
      <c r="D435" s="23" t="s">
        <v>927</v>
      </c>
      <c r="E435" s="11"/>
      <c r="F435" s="23" t="s">
        <v>1434</v>
      </c>
      <c r="G435" s="31" t="s">
        <v>1435</v>
      </c>
      <c r="H435" s="63">
        <v>100</v>
      </c>
      <c r="I435" s="24"/>
      <c r="J435" s="24">
        <f>2800+975</f>
        <v>3775</v>
      </c>
      <c r="K435" s="11" t="s">
        <v>25</v>
      </c>
      <c r="L435" s="19"/>
      <c r="M435" s="11" t="s">
        <v>18</v>
      </c>
    </row>
    <row r="436" spans="2:15" s="15" customFormat="1" ht="15" customHeight="1" x14ac:dyDescent="0.25">
      <c r="B436" s="11" t="s">
        <v>1436</v>
      </c>
      <c r="C436" s="16">
        <v>45421</v>
      </c>
      <c r="D436" s="23" t="s">
        <v>463</v>
      </c>
      <c r="E436" s="11"/>
      <c r="F436" s="23" t="s">
        <v>1437</v>
      </c>
      <c r="G436" s="31" t="s">
        <v>1438</v>
      </c>
      <c r="H436" s="63">
        <v>200</v>
      </c>
      <c r="I436" s="24"/>
      <c r="J436" s="24">
        <f>590+675</f>
        <v>1265</v>
      </c>
      <c r="K436" s="11" t="s">
        <v>17</v>
      </c>
      <c r="L436" s="19"/>
      <c r="M436" s="11" t="s">
        <v>31</v>
      </c>
    </row>
    <row r="437" spans="2:15" s="15" customFormat="1" ht="15" customHeight="1" x14ac:dyDescent="0.25">
      <c r="B437" s="11" t="s">
        <v>1439</v>
      </c>
      <c r="C437" s="16">
        <v>45455</v>
      </c>
      <c r="D437" s="23" t="s">
        <v>574</v>
      </c>
      <c r="E437" s="11"/>
      <c r="F437" s="23" t="s">
        <v>1440</v>
      </c>
      <c r="G437" s="31" t="s">
        <v>1441</v>
      </c>
      <c r="H437" s="63">
        <v>2</v>
      </c>
      <c r="I437" s="24">
        <v>5500</v>
      </c>
      <c r="J437" s="24">
        <v>11000</v>
      </c>
      <c r="K437" s="11" t="s">
        <v>17</v>
      </c>
      <c r="L437" s="19"/>
      <c r="M437" s="11" t="s">
        <v>18</v>
      </c>
      <c r="O437" s="7"/>
    </row>
    <row r="438" spans="2:15" s="15" customFormat="1" ht="15" customHeight="1" x14ac:dyDescent="0.25">
      <c r="B438" s="11" t="s">
        <v>1442</v>
      </c>
      <c r="C438" s="16">
        <v>45421</v>
      </c>
      <c r="D438" s="23" t="s">
        <v>574</v>
      </c>
      <c r="E438" s="11"/>
      <c r="F438" s="23" t="s">
        <v>1443</v>
      </c>
      <c r="G438" s="31"/>
      <c r="H438" s="63">
        <v>1</v>
      </c>
      <c r="I438" s="24">
        <v>475</v>
      </c>
      <c r="J438" s="24">
        <v>475</v>
      </c>
      <c r="K438" s="11" t="s">
        <v>17</v>
      </c>
      <c r="L438" s="19"/>
      <c r="M438" s="11" t="s">
        <v>31</v>
      </c>
    </row>
    <row r="439" spans="2:15" s="15" customFormat="1" ht="15" customHeight="1" x14ac:dyDescent="0.25">
      <c r="B439" s="11" t="s">
        <v>1444</v>
      </c>
      <c r="C439" s="16">
        <v>45422</v>
      </c>
      <c r="D439" s="23" t="s">
        <v>1445</v>
      </c>
      <c r="E439" s="11"/>
      <c r="F439" s="23" t="s">
        <v>1446</v>
      </c>
      <c r="G439" s="31" t="s">
        <v>771</v>
      </c>
      <c r="H439" s="63">
        <v>840</v>
      </c>
      <c r="I439" s="24">
        <v>3.25</v>
      </c>
      <c r="J439" s="24">
        <v>2730</v>
      </c>
      <c r="K439" s="11" t="s">
        <v>25</v>
      </c>
      <c r="L439" s="19"/>
      <c r="M439" s="11" t="s">
        <v>18</v>
      </c>
    </row>
    <row r="440" spans="2:15" s="15" customFormat="1" ht="15" customHeight="1" x14ac:dyDescent="0.25">
      <c r="B440" s="11" t="s">
        <v>1447</v>
      </c>
      <c r="C440" s="16">
        <v>45422</v>
      </c>
      <c r="D440" s="23" t="s">
        <v>1448</v>
      </c>
      <c r="E440" s="11"/>
      <c r="F440" s="23" t="s">
        <v>800</v>
      </c>
      <c r="G440" s="31" t="s">
        <v>1449</v>
      </c>
      <c r="H440" s="63">
        <v>60</v>
      </c>
      <c r="I440" s="24">
        <v>16.850000000000001</v>
      </c>
      <c r="J440" s="24">
        <v>1011</v>
      </c>
      <c r="K440" s="11" t="s">
        <v>25</v>
      </c>
      <c r="L440" s="19"/>
      <c r="M440" s="11" t="s">
        <v>18</v>
      </c>
    </row>
    <row r="441" spans="2:15" s="15" customFormat="1" ht="15" customHeight="1" x14ac:dyDescent="0.25">
      <c r="B441" s="11" t="s">
        <v>1450</v>
      </c>
      <c r="C441" s="16">
        <v>45423</v>
      </c>
      <c r="D441" s="23" t="s">
        <v>1118</v>
      </c>
      <c r="E441" s="11"/>
      <c r="F441" s="23" t="s">
        <v>1389</v>
      </c>
      <c r="G441" s="23" t="s">
        <v>1451</v>
      </c>
      <c r="H441" s="63">
        <v>28</v>
      </c>
      <c r="I441" s="24">
        <v>58.75</v>
      </c>
      <c r="J441" s="24">
        <v>1645</v>
      </c>
      <c r="K441" s="11" t="s">
        <v>17</v>
      </c>
      <c r="L441" s="19"/>
      <c r="M441" s="11" t="s">
        <v>31</v>
      </c>
    </row>
    <row r="442" spans="2:15" s="15" customFormat="1" ht="15" customHeight="1" x14ac:dyDescent="0.25">
      <c r="B442" s="11" t="s">
        <v>1452</v>
      </c>
      <c r="C442" s="16">
        <v>45423</v>
      </c>
      <c r="D442" s="23" t="s">
        <v>574</v>
      </c>
      <c r="E442" s="11"/>
      <c r="F442" s="23" t="s">
        <v>1453</v>
      </c>
      <c r="G442" s="23" t="s">
        <v>1454</v>
      </c>
      <c r="H442" s="63">
        <v>1</v>
      </c>
      <c r="I442" s="24">
        <v>225</v>
      </c>
      <c r="J442" s="24">
        <v>225</v>
      </c>
      <c r="K442" s="11" t="s">
        <v>17</v>
      </c>
      <c r="L442" s="19"/>
      <c r="M442" s="11" t="s">
        <v>31</v>
      </c>
    </row>
    <row r="443" spans="2:15" s="15" customFormat="1" ht="15" customHeight="1" x14ac:dyDescent="0.25">
      <c r="B443" s="11" t="s">
        <v>1455</v>
      </c>
      <c r="C443" s="16">
        <v>45425</v>
      </c>
      <c r="D443" s="23" t="s">
        <v>574</v>
      </c>
      <c r="E443" s="11"/>
      <c r="F443" s="23" t="s">
        <v>1456</v>
      </c>
      <c r="G443" s="23" t="s">
        <v>1457</v>
      </c>
      <c r="H443" s="63">
        <v>3</v>
      </c>
      <c r="I443" s="24">
        <v>291.67</v>
      </c>
      <c r="J443" s="24">
        <v>875</v>
      </c>
      <c r="K443" s="11" t="s">
        <v>17</v>
      </c>
      <c r="L443" s="19"/>
      <c r="M443" s="11" t="s">
        <v>31</v>
      </c>
    </row>
    <row r="444" spans="2:15" s="15" customFormat="1" ht="15" customHeight="1" x14ac:dyDescent="0.25">
      <c r="B444" s="11" t="s">
        <v>1458</v>
      </c>
      <c r="C444" s="16">
        <v>45426</v>
      </c>
      <c r="D444" s="23" t="s">
        <v>1459</v>
      </c>
      <c r="E444" s="11"/>
      <c r="F444" s="23" t="s">
        <v>1460</v>
      </c>
      <c r="G444" s="23"/>
      <c r="H444" s="63">
        <v>100</v>
      </c>
      <c r="I444" s="24" t="s">
        <v>1310</v>
      </c>
      <c r="J444" s="24">
        <v>12824.75</v>
      </c>
      <c r="K444" s="11" t="s">
        <v>25</v>
      </c>
      <c r="L444" s="19"/>
      <c r="M444" s="11" t="s">
        <v>31</v>
      </c>
    </row>
    <row r="445" spans="2:15" s="15" customFormat="1" ht="15" customHeight="1" x14ac:dyDescent="0.25">
      <c r="B445" s="11" t="s">
        <v>1461</v>
      </c>
      <c r="C445" s="16">
        <v>45425</v>
      </c>
      <c r="D445" s="23" t="s">
        <v>574</v>
      </c>
      <c r="E445" s="11"/>
      <c r="F445" s="23" t="s">
        <v>1462</v>
      </c>
      <c r="G445" s="23" t="s">
        <v>1463</v>
      </c>
      <c r="H445" s="63">
        <v>1</v>
      </c>
      <c r="I445" s="24"/>
      <c r="J445" s="24">
        <f>875+2475</f>
        <v>3350</v>
      </c>
      <c r="K445" s="11" t="s">
        <v>17</v>
      </c>
      <c r="L445" s="19"/>
      <c r="M445" s="11" t="s">
        <v>31</v>
      </c>
    </row>
    <row r="446" spans="2:15" s="15" customFormat="1" ht="15" customHeight="1" x14ac:dyDescent="0.25">
      <c r="B446" s="11" t="s">
        <v>1464</v>
      </c>
      <c r="C446" s="16">
        <v>45425</v>
      </c>
      <c r="D446" s="31" t="s">
        <v>1060</v>
      </c>
      <c r="E446" s="11"/>
      <c r="F446" s="23" t="s">
        <v>1465</v>
      </c>
      <c r="G446" s="23" t="s">
        <v>1257</v>
      </c>
      <c r="H446" s="63"/>
      <c r="I446" s="24"/>
      <c r="J446" s="24">
        <v>375</v>
      </c>
      <c r="K446" s="11" t="s">
        <v>17</v>
      </c>
      <c r="L446" s="19"/>
      <c r="M446" s="11" t="s">
        <v>31</v>
      </c>
    </row>
    <row r="447" spans="2:15" s="15" customFormat="1" ht="15" customHeight="1" x14ac:dyDescent="0.25">
      <c r="B447" s="11" t="s">
        <v>1466</v>
      </c>
      <c r="C447" s="16">
        <v>45426</v>
      </c>
      <c r="D447" s="23" t="s">
        <v>574</v>
      </c>
      <c r="E447" s="11"/>
      <c r="F447" s="23" t="s">
        <v>1467</v>
      </c>
      <c r="G447" s="31" t="s">
        <v>152</v>
      </c>
      <c r="H447" s="63">
        <v>100</v>
      </c>
      <c r="I447" s="24">
        <v>105</v>
      </c>
      <c r="J447" s="24">
        <v>105</v>
      </c>
      <c r="K447" s="11" t="s">
        <v>17</v>
      </c>
      <c r="L447" s="19"/>
      <c r="M447" s="11" t="s">
        <v>31</v>
      </c>
    </row>
    <row r="448" spans="2:15" s="15" customFormat="1" ht="15" customHeight="1" x14ac:dyDescent="0.25">
      <c r="B448" s="11" t="s">
        <v>1468</v>
      </c>
      <c r="C448" s="16">
        <v>45426</v>
      </c>
      <c r="D448" s="23" t="s">
        <v>574</v>
      </c>
      <c r="E448" s="11"/>
      <c r="F448" s="23" t="s">
        <v>1469</v>
      </c>
      <c r="G448" s="23"/>
      <c r="H448" s="63">
        <v>50</v>
      </c>
      <c r="I448" s="24"/>
      <c r="J448" s="24">
        <v>5600</v>
      </c>
      <c r="K448" s="11" t="s">
        <v>17</v>
      </c>
      <c r="L448" s="19"/>
      <c r="M448" s="11" t="s">
        <v>18</v>
      </c>
    </row>
    <row r="449" spans="2:13" s="15" customFormat="1" ht="15" customHeight="1" x14ac:dyDescent="0.25">
      <c r="B449" s="11" t="s">
        <v>1470</v>
      </c>
      <c r="C449" s="16">
        <v>45426</v>
      </c>
      <c r="D449" t="s">
        <v>1305</v>
      </c>
      <c r="E449" s="11"/>
      <c r="F449" s="23" t="s">
        <v>1471</v>
      </c>
      <c r="G449" s="23" t="s">
        <v>1472</v>
      </c>
      <c r="H449" s="63">
        <v>5</v>
      </c>
      <c r="I449" s="24">
        <v>38</v>
      </c>
      <c r="J449" s="24">
        <v>190</v>
      </c>
      <c r="K449" s="11" t="s">
        <v>25</v>
      </c>
      <c r="L449" s="19"/>
      <c r="M449" s="11" t="s">
        <v>31</v>
      </c>
    </row>
    <row r="450" spans="2:13" s="15" customFormat="1" ht="15" customHeight="1" x14ac:dyDescent="0.25">
      <c r="B450" s="11" t="s">
        <v>1473</v>
      </c>
      <c r="C450" s="16">
        <v>45426</v>
      </c>
      <c r="D450" s="23" t="s">
        <v>463</v>
      </c>
      <c r="E450" s="11"/>
      <c r="F450" s="23" t="s">
        <v>575</v>
      </c>
      <c r="G450" s="23" t="s">
        <v>1474</v>
      </c>
      <c r="H450" s="63">
        <v>1</v>
      </c>
      <c r="I450" s="24">
        <v>385</v>
      </c>
      <c r="J450" s="24">
        <v>385</v>
      </c>
      <c r="K450" s="11" t="s">
        <v>17</v>
      </c>
      <c r="L450" s="19"/>
      <c r="M450" s="11" t="s">
        <v>18</v>
      </c>
    </row>
    <row r="451" spans="2:13" s="15" customFormat="1" ht="15" customHeight="1" x14ac:dyDescent="0.25">
      <c r="B451" s="11" t="s">
        <v>1475</v>
      </c>
      <c r="C451" s="16">
        <v>45448</v>
      </c>
      <c r="D451" s="23" t="s">
        <v>241</v>
      </c>
      <c r="E451" s="11"/>
      <c r="F451" s="23" t="s">
        <v>1476</v>
      </c>
      <c r="G451" s="23" t="s">
        <v>1477</v>
      </c>
      <c r="H451" s="63">
        <v>92</v>
      </c>
      <c r="I451" s="24">
        <v>14.25</v>
      </c>
      <c r="J451" s="24">
        <v>1311</v>
      </c>
      <c r="K451" s="11" t="s">
        <v>17</v>
      </c>
      <c r="L451" s="19"/>
      <c r="M451" s="11" t="s">
        <v>31</v>
      </c>
    </row>
    <row r="452" spans="2:13" s="15" customFormat="1" ht="15" customHeight="1" x14ac:dyDescent="0.25">
      <c r="B452" s="11" t="s">
        <v>1478</v>
      </c>
      <c r="C452" s="16">
        <v>45426</v>
      </c>
      <c r="D452" s="23" t="s">
        <v>1400</v>
      </c>
      <c r="E452" s="11"/>
      <c r="F452" s="23" t="s">
        <v>1479</v>
      </c>
      <c r="G452" s="23"/>
      <c r="H452" s="63">
        <v>100</v>
      </c>
      <c r="I452" s="24"/>
      <c r="J452" s="24">
        <v>4955.5</v>
      </c>
      <c r="K452" s="11" t="s">
        <v>17</v>
      </c>
      <c r="L452" s="19"/>
      <c r="M452" s="11" t="s">
        <v>31</v>
      </c>
    </row>
    <row r="453" spans="2:13" s="15" customFormat="1" ht="15" customHeight="1" x14ac:dyDescent="0.25">
      <c r="B453" s="11" t="s">
        <v>1480</v>
      </c>
      <c r="C453" s="16">
        <v>45426</v>
      </c>
      <c r="D453" s="23" t="s">
        <v>1481</v>
      </c>
      <c r="E453" s="11"/>
      <c r="F453" s="23" t="s">
        <v>1482</v>
      </c>
      <c r="G453" s="23"/>
      <c r="H453" s="63">
        <v>1</v>
      </c>
      <c r="I453" s="24"/>
      <c r="J453" s="24">
        <v>6265</v>
      </c>
      <c r="K453" s="11" t="s">
        <v>17</v>
      </c>
      <c r="L453" s="19"/>
      <c r="M453" s="11" t="s">
        <v>18</v>
      </c>
    </row>
    <row r="454" spans="2:13" s="15" customFormat="1" ht="15" customHeight="1" x14ac:dyDescent="0.25">
      <c r="B454" s="11" t="s">
        <v>1483</v>
      </c>
      <c r="C454" s="16">
        <v>45426</v>
      </c>
      <c r="D454" s="23" t="s">
        <v>1484</v>
      </c>
      <c r="E454" s="11"/>
      <c r="F454" s="23" t="s">
        <v>1485</v>
      </c>
      <c r="G454" s="23" t="s">
        <v>1486</v>
      </c>
      <c r="H454" s="63">
        <v>120</v>
      </c>
      <c r="I454" s="24">
        <v>9.25</v>
      </c>
      <c r="J454" s="24">
        <v>1110</v>
      </c>
      <c r="K454" s="11" t="s">
        <v>25</v>
      </c>
      <c r="L454" s="19"/>
      <c r="M454" s="11" t="s">
        <v>18</v>
      </c>
    </row>
    <row r="455" spans="2:13" s="15" customFormat="1" ht="15" customHeight="1" x14ac:dyDescent="0.25">
      <c r="B455" s="11" t="s">
        <v>1487</v>
      </c>
      <c r="C455" s="16">
        <v>45426</v>
      </c>
      <c r="D455" s="23" t="s">
        <v>142</v>
      </c>
      <c r="E455" s="11"/>
      <c r="F455" s="23" t="s">
        <v>197</v>
      </c>
      <c r="G455" s="23" t="s">
        <v>1488</v>
      </c>
      <c r="H455" s="63" t="s">
        <v>1489</v>
      </c>
      <c r="I455" s="24">
        <v>265</v>
      </c>
      <c r="J455" s="24">
        <v>1060</v>
      </c>
      <c r="K455" s="11" t="s">
        <v>25</v>
      </c>
      <c r="L455" s="19"/>
      <c r="M455" s="11" t="s">
        <v>31</v>
      </c>
    </row>
    <row r="456" spans="2:13" s="15" customFormat="1" ht="15" customHeight="1" x14ac:dyDescent="0.25">
      <c r="B456" s="11" t="s">
        <v>1490</v>
      </c>
      <c r="C456" s="16">
        <v>45427</v>
      </c>
      <c r="D456" s="23" t="s">
        <v>574</v>
      </c>
      <c r="E456" s="11"/>
      <c r="F456" s="31" t="s">
        <v>1491</v>
      </c>
      <c r="G456" s="31" t="s">
        <v>1492</v>
      </c>
      <c r="H456" s="63">
        <v>1</v>
      </c>
      <c r="I456" s="24"/>
      <c r="J456" s="24">
        <v>135</v>
      </c>
      <c r="K456" s="11" t="s">
        <v>17</v>
      </c>
      <c r="L456" s="19"/>
      <c r="M456" s="11" t="s">
        <v>31</v>
      </c>
    </row>
    <row r="457" spans="2:13" s="15" customFormat="1" ht="15" customHeight="1" x14ac:dyDescent="0.25">
      <c r="B457" s="11" t="s">
        <v>1493</v>
      </c>
      <c r="C457" s="16">
        <v>45427</v>
      </c>
      <c r="D457" s="23" t="s">
        <v>241</v>
      </c>
      <c r="E457" s="11"/>
      <c r="F457" s="23" t="s">
        <v>197</v>
      </c>
      <c r="G457" s="23" t="s">
        <v>1494</v>
      </c>
      <c r="H457" s="63" t="s">
        <v>1234</v>
      </c>
      <c r="I457" s="24"/>
      <c r="J457" s="24">
        <v>470</v>
      </c>
      <c r="K457" s="11" t="s">
        <v>17</v>
      </c>
      <c r="L457" s="19"/>
      <c r="M457" s="11" t="s">
        <v>31</v>
      </c>
    </row>
    <row r="458" spans="2:13" s="15" customFormat="1" ht="15" customHeight="1" x14ac:dyDescent="0.25">
      <c r="B458" s="11" t="s">
        <v>1495</v>
      </c>
      <c r="C458" s="16">
        <v>45479</v>
      </c>
      <c r="D458" s="23" t="s">
        <v>1060</v>
      </c>
      <c r="E458" s="11"/>
      <c r="F458" s="23" t="s">
        <v>1496</v>
      </c>
      <c r="G458" s="23"/>
      <c r="H458" s="63">
        <v>258</v>
      </c>
      <c r="I458" s="24"/>
      <c r="J458" s="24">
        <v>3623</v>
      </c>
      <c r="K458" s="11" t="s">
        <v>17</v>
      </c>
      <c r="L458" s="19" t="s">
        <v>1391</v>
      </c>
      <c r="M458" s="11" t="s">
        <v>31</v>
      </c>
    </row>
    <row r="459" spans="2:13" s="15" customFormat="1" ht="15" customHeight="1" x14ac:dyDescent="0.25">
      <c r="B459" s="11" t="s">
        <v>1497</v>
      </c>
      <c r="C459" s="16">
        <v>45427</v>
      </c>
      <c r="D459" s="23" t="s">
        <v>574</v>
      </c>
      <c r="E459" s="11"/>
      <c r="F459" s="23" t="s">
        <v>1498</v>
      </c>
      <c r="G459" s="23" t="s">
        <v>1499</v>
      </c>
      <c r="H459" s="63"/>
      <c r="I459" s="24"/>
      <c r="J459" s="24">
        <v>1766.25</v>
      </c>
      <c r="K459" s="11" t="s">
        <v>17</v>
      </c>
      <c r="L459" s="19"/>
      <c r="M459" s="11" t="s">
        <v>18</v>
      </c>
    </row>
    <row r="460" spans="2:13" s="15" customFormat="1" ht="15" customHeight="1" x14ac:dyDescent="0.25">
      <c r="B460" s="11" t="s">
        <v>1500</v>
      </c>
      <c r="C460" s="16">
        <v>45427</v>
      </c>
      <c r="D460" s="23" t="s">
        <v>1501</v>
      </c>
      <c r="E460" s="11"/>
      <c r="F460" s="23" t="s">
        <v>1502</v>
      </c>
      <c r="G460" s="23" t="s">
        <v>1503</v>
      </c>
      <c r="H460" s="63"/>
      <c r="I460" s="24"/>
      <c r="J460" s="24">
        <v>8385</v>
      </c>
      <c r="K460" s="11" t="s">
        <v>25</v>
      </c>
      <c r="L460" s="19"/>
      <c r="M460" s="11" t="s">
        <v>31</v>
      </c>
    </row>
    <row r="461" spans="2:13" s="15" customFormat="1" ht="15" customHeight="1" x14ac:dyDescent="0.25">
      <c r="B461" s="11" t="s">
        <v>1504</v>
      </c>
      <c r="C461" s="16">
        <v>45427</v>
      </c>
      <c r="D461" s="23" t="s">
        <v>1505</v>
      </c>
      <c r="E461" s="11"/>
      <c r="F461" s="23" t="s">
        <v>1506</v>
      </c>
      <c r="G461" s="23"/>
      <c r="H461" s="11">
        <v>500</v>
      </c>
      <c r="I461" s="24"/>
      <c r="J461" s="24">
        <v>7470</v>
      </c>
      <c r="K461" s="11" t="s">
        <v>25</v>
      </c>
      <c r="L461" s="19"/>
      <c r="M461" s="11" t="s">
        <v>18</v>
      </c>
    </row>
    <row r="462" spans="2:13" s="15" customFormat="1" ht="15" customHeight="1" x14ac:dyDescent="0.25">
      <c r="B462" s="11" t="s">
        <v>1507</v>
      </c>
      <c r="C462" s="16">
        <v>45427</v>
      </c>
      <c r="D462" s="23" t="s">
        <v>27</v>
      </c>
      <c r="E462" s="11"/>
      <c r="F462" s="23" t="s">
        <v>1389</v>
      </c>
      <c r="G462" s="23" t="s">
        <v>1508</v>
      </c>
      <c r="H462" s="11"/>
      <c r="I462" s="24"/>
      <c r="J462" s="24">
        <v>1892</v>
      </c>
      <c r="K462" s="11" t="s">
        <v>17</v>
      </c>
      <c r="L462" s="19"/>
      <c r="M462" s="11" t="s">
        <v>31</v>
      </c>
    </row>
    <row r="463" spans="2:13" s="15" customFormat="1" ht="15" customHeight="1" x14ac:dyDescent="0.25">
      <c r="B463" s="11" t="s">
        <v>1509</v>
      </c>
      <c r="C463" s="16">
        <v>45427</v>
      </c>
      <c r="D463" s="23" t="s">
        <v>880</v>
      </c>
      <c r="E463" s="11"/>
      <c r="F463" s="23" t="s">
        <v>1510</v>
      </c>
      <c r="G463" s="23" t="s">
        <v>1511</v>
      </c>
      <c r="H463" s="11">
        <v>30</v>
      </c>
      <c r="I463" s="24">
        <v>12.25</v>
      </c>
      <c r="J463" s="24">
        <v>367.5</v>
      </c>
      <c r="K463" s="11" t="s">
        <v>17</v>
      </c>
      <c r="L463" s="19"/>
      <c r="M463" s="11" t="s">
        <v>31</v>
      </c>
    </row>
    <row r="464" spans="2:13" s="15" customFormat="1" ht="15" customHeight="1" x14ac:dyDescent="0.25">
      <c r="B464" s="11" t="s">
        <v>1512</v>
      </c>
      <c r="C464" s="16">
        <v>45427</v>
      </c>
      <c r="D464" s="23" t="s">
        <v>1130</v>
      </c>
      <c r="E464" s="11"/>
      <c r="F464" s="23" t="s">
        <v>1513</v>
      </c>
      <c r="G464" s="23" t="s">
        <v>1514</v>
      </c>
      <c r="H464" s="11">
        <v>50</v>
      </c>
      <c r="I464" s="24">
        <v>78.150000000000006</v>
      </c>
      <c r="J464" s="24">
        <v>3907.5</v>
      </c>
      <c r="K464" s="11" t="s">
        <v>25</v>
      </c>
      <c r="L464" s="19"/>
      <c r="M464" s="11" t="s">
        <v>18</v>
      </c>
    </row>
    <row r="465" spans="2:13" s="15" customFormat="1" ht="15" customHeight="1" x14ac:dyDescent="0.25">
      <c r="B465" s="11" t="s">
        <v>1515</v>
      </c>
      <c r="C465" s="16">
        <v>45427</v>
      </c>
      <c r="D465" s="23" t="s">
        <v>27</v>
      </c>
      <c r="E465" s="11"/>
      <c r="F465" s="23" t="s">
        <v>1516</v>
      </c>
      <c r="G465" s="23" t="s">
        <v>1517</v>
      </c>
      <c r="H465" s="11"/>
      <c r="I465" s="24"/>
      <c r="J465" s="24">
        <v>5332.5</v>
      </c>
      <c r="K465" s="11" t="s">
        <v>17</v>
      </c>
      <c r="L465" s="19"/>
      <c r="M465" s="11" t="s">
        <v>31</v>
      </c>
    </row>
    <row r="466" spans="2:13" s="15" customFormat="1" ht="15" customHeight="1" x14ac:dyDescent="0.25">
      <c r="B466" s="11" t="s">
        <v>1518</v>
      </c>
      <c r="C466" s="16">
        <v>45427</v>
      </c>
      <c r="D466" s="23" t="s">
        <v>1060</v>
      </c>
      <c r="E466" s="11"/>
      <c r="F466" s="23" t="s">
        <v>1519</v>
      </c>
      <c r="G466" s="23" t="s">
        <v>1520</v>
      </c>
      <c r="H466" s="11">
        <v>1</v>
      </c>
      <c r="I466" s="24"/>
      <c r="J466" s="24">
        <v>1850</v>
      </c>
      <c r="K466" s="11" t="s">
        <v>17</v>
      </c>
      <c r="L466" s="19"/>
      <c r="M466" s="11" t="s">
        <v>18</v>
      </c>
    </row>
    <row r="467" spans="2:13" s="15" customFormat="1" ht="15" customHeight="1" x14ac:dyDescent="0.25">
      <c r="B467" s="11" t="s">
        <v>1521</v>
      </c>
      <c r="C467" s="16">
        <v>45427</v>
      </c>
      <c r="D467" s="23" t="s">
        <v>1484</v>
      </c>
      <c r="E467" s="11"/>
      <c r="F467" s="23" t="s">
        <v>1522</v>
      </c>
      <c r="G467" s="23" t="s">
        <v>756</v>
      </c>
      <c r="H467" s="11"/>
      <c r="I467" s="24"/>
      <c r="J467" s="24">
        <v>1375</v>
      </c>
      <c r="K467" s="11" t="s">
        <v>25</v>
      </c>
      <c r="L467" s="19"/>
      <c r="M467" s="11" t="s">
        <v>18</v>
      </c>
    </row>
    <row r="468" spans="2:13" s="15" customFormat="1" ht="15" customHeight="1" x14ac:dyDescent="0.25">
      <c r="B468" s="11" t="s">
        <v>1523</v>
      </c>
      <c r="C468" s="16">
        <v>45428</v>
      </c>
      <c r="D468" s="23" t="s">
        <v>574</v>
      </c>
      <c r="E468" s="11"/>
      <c r="F468" s="23" t="s">
        <v>1524</v>
      </c>
      <c r="G468" s="23" t="s">
        <v>1525</v>
      </c>
      <c r="H468" s="11">
        <v>7</v>
      </c>
      <c r="I468" s="24">
        <v>28.75</v>
      </c>
      <c r="J468" s="24">
        <v>201.25</v>
      </c>
      <c r="K468" s="11" t="s">
        <v>17</v>
      </c>
      <c r="L468" s="19"/>
      <c r="M468" s="11" t="s">
        <v>18</v>
      </c>
    </row>
    <row r="469" spans="2:13" s="15" customFormat="1" ht="15" customHeight="1" x14ac:dyDescent="0.25">
      <c r="B469" s="11" t="s">
        <v>1526</v>
      </c>
      <c r="C469" s="16">
        <v>45428</v>
      </c>
      <c r="D469" s="23" t="s">
        <v>1527</v>
      </c>
      <c r="E469" s="11"/>
      <c r="F469" s="23" t="s">
        <v>1528</v>
      </c>
      <c r="G469" s="23" t="s">
        <v>1529</v>
      </c>
      <c r="H469" s="11">
        <v>300</v>
      </c>
      <c r="I469" s="24">
        <v>10.4</v>
      </c>
      <c r="J469" s="24">
        <v>3120</v>
      </c>
      <c r="K469" s="11" t="s">
        <v>25</v>
      </c>
      <c r="L469" s="19"/>
      <c r="M469" s="11" t="s">
        <v>18</v>
      </c>
    </row>
    <row r="470" spans="2:13" s="15" customFormat="1" ht="15" customHeight="1" x14ac:dyDescent="0.25">
      <c r="B470" s="11" t="s">
        <v>1530</v>
      </c>
      <c r="C470" s="16">
        <v>45429</v>
      </c>
      <c r="D470" s="23" t="s">
        <v>241</v>
      </c>
      <c r="E470" s="11"/>
      <c r="F470" t="s">
        <v>1421</v>
      </c>
      <c r="G470" s="23" t="s">
        <v>1531</v>
      </c>
      <c r="H470" s="11">
        <v>1000</v>
      </c>
      <c r="I470" s="24">
        <v>1.19</v>
      </c>
      <c r="J470" s="24">
        <v>1190</v>
      </c>
      <c r="K470" s="11" t="s">
        <v>17</v>
      </c>
      <c r="L470" s="19"/>
      <c r="M470" s="11" t="s">
        <v>31</v>
      </c>
    </row>
    <row r="471" spans="2:13" s="15" customFormat="1" ht="15" customHeight="1" x14ac:dyDescent="0.25">
      <c r="B471" s="11" t="s">
        <v>1532</v>
      </c>
      <c r="C471" s="16">
        <v>45429</v>
      </c>
      <c r="D471" s="23" t="s">
        <v>1533</v>
      </c>
      <c r="E471" s="11"/>
      <c r="F471" s="23" t="s">
        <v>1534</v>
      </c>
      <c r="G471" s="23"/>
      <c r="H471" s="11"/>
      <c r="I471" s="24"/>
      <c r="J471" s="24">
        <f>1162.5+2362.5</f>
        <v>3525</v>
      </c>
      <c r="K471" s="11" t="s">
        <v>25</v>
      </c>
      <c r="L471" s="19"/>
      <c r="M471" s="11" t="s">
        <v>18</v>
      </c>
    </row>
    <row r="472" spans="2:13" s="15" customFormat="1" ht="15" customHeight="1" x14ac:dyDescent="0.25">
      <c r="B472" s="11" t="s">
        <v>1535</v>
      </c>
      <c r="C472" s="16">
        <v>45429</v>
      </c>
      <c r="D472" s="23" t="s">
        <v>1536</v>
      </c>
      <c r="E472" s="11"/>
      <c r="F472" t="s">
        <v>1537</v>
      </c>
      <c r="G472" s="23" t="s">
        <v>1538</v>
      </c>
      <c r="H472" s="11">
        <v>1</v>
      </c>
      <c r="I472" s="24">
        <v>495</v>
      </c>
      <c r="J472" s="51">
        <v>495</v>
      </c>
      <c r="K472" s="11" t="s">
        <v>25</v>
      </c>
      <c r="L472" s="19"/>
      <c r="M472" s="11" t="s">
        <v>18</v>
      </c>
    </row>
    <row r="473" spans="2:13" s="15" customFormat="1" ht="15" customHeight="1" x14ac:dyDescent="0.25">
      <c r="B473" s="11" t="s">
        <v>1539</v>
      </c>
      <c r="C473" s="16">
        <v>45429</v>
      </c>
      <c r="D473" s="23" t="s">
        <v>27</v>
      </c>
      <c r="E473" s="11"/>
      <c r="F473" s="23" t="s">
        <v>922</v>
      </c>
      <c r="G473" s="23" t="s">
        <v>512</v>
      </c>
      <c r="H473" s="11" t="s">
        <v>1081</v>
      </c>
      <c r="I473" s="24"/>
      <c r="J473" s="24">
        <v>275</v>
      </c>
      <c r="K473" s="11" t="s">
        <v>17</v>
      </c>
      <c r="L473" s="19"/>
      <c r="M473" s="11" t="s">
        <v>31</v>
      </c>
    </row>
    <row r="474" spans="2:13" s="15" customFormat="1" ht="15" customHeight="1" x14ac:dyDescent="0.25">
      <c r="B474" s="11" t="s">
        <v>1540</v>
      </c>
      <c r="C474" s="16">
        <v>45429</v>
      </c>
      <c r="D474" s="23" t="s">
        <v>203</v>
      </c>
      <c r="E474" s="11"/>
      <c r="F474" s="31" t="s">
        <v>160</v>
      </c>
      <c r="G474" s="31" t="s">
        <v>161</v>
      </c>
      <c r="H474" s="11">
        <v>2000</v>
      </c>
      <c r="I474" s="24">
        <v>0.53</v>
      </c>
      <c r="J474" s="24">
        <v>1065</v>
      </c>
      <c r="K474" s="11" t="s">
        <v>17</v>
      </c>
      <c r="L474" s="19"/>
      <c r="M474" s="11" t="s">
        <v>31</v>
      </c>
    </row>
    <row r="475" spans="2:13" s="15" customFormat="1" ht="15" customHeight="1" x14ac:dyDescent="0.25">
      <c r="B475" s="11" t="s">
        <v>1541</v>
      </c>
      <c r="C475" s="16">
        <v>45429</v>
      </c>
      <c r="D475" s="23" t="s">
        <v>1542</v>
      </c>
      <c r="E475" s="11"/>
      <c r="F475" s="23" t="s">
        <v>1543</v>
      </c>
      <c r="G475" s="23" t="s">
        <v>1544</v>
      </c>
      <c r="H475" s="11">
        <v>25</v>
      </c>
      <c r="I475" s="24"/>
      <c r="J475" s="24">
        <v>956.25</v>
      </c>
      <c r="K475" s="11" t="s">
        <v>25</v>
      </c>
      <c r="L475" s="19"/>
      <c r="M475" s="11" t="s">
        <v>18</v>
      </c>
    </row>
    <row r="476" spans="2:13" s="46" customFormat="1" ht="15" customHeight="1" x14ac:dyDescent="0.25">
      <c r="B476" s="11" t="s">
        <v>1545</v>
      </c>
      <c r="C476" s="16">
        <v>45432</v>
      </c>
      <c r="D476" s="23" t="s">
        <v>1546</v>
      </c>
      <c r="E476" s="11"/>
      <c r="F476" s="23" t="s">
        <v>22</v>
      </c>
      <c r="G476" s="23"/>
      <c r="H476" s="11"/>
      <c r="I476" s="24"/>
      <c r="J476" s="24">
        <v>130</v>
      </c>
      <c r="K476" s="11" t="s">
        <v>25</v>
      </c>
      <c r="L476" s="19"/>
      <c r="M476" s="45" t="s">
        <v>31</v>
      </c>
    </row>
    <row r="477" spans="2:13" s="15" customFormat="1" ht="15" customHeight="1" x14ac:dyDescent="0.25">
      <c r="B477" s="11" t="s">
        <v>1547</v>
      </c>
      <c r="C477" s="16">
        <v>45430</v>
      </c>
      <c r="D477" s="23" t="s">
        <v>451</v>
      </c>
      <c r="E477" s="11"/>
      <c r="F477" s="23" t="s">
        <v>1548</v>
      </c>
      <c r="G477" s="23" t="s">
        <v>1549</v>
      </c>
      <c r="H477" s="11">
        <v>174</v>
      </c>
      <c r="I477" s="24">
        <v>9.75</v>
      </c>
      <c r="J477" s="24">
        <v>1933.5</v>
      </c>
      <c r="K477" s="11" t="s">
        <v>17</v>
      </c>
      <c r="L477" s="19" t="s">
        <v>1414</v>
      </c>
      <c r="M477" s="11" t="s">
        <v>31</v>
      </c>
    </row>
    <row r="478" spans="2:13" s="15" customFormat="1" ht="15" customHeight="1" x14ac:dyDescent="0.25">
      <c r="B478" s="11" t="s">
        <v>1550</v>
      </c>
      <c r="C478" s="16">
        <v>45430</v>
      </c>
      <c r="D478" s="23" t="s">
        <v>1060</v>
      </c>
      <c r="E478" s="11"/>
      <c r="F478" s="23" t="s">
        <v>1551</v>
      </c>
      <c r="G478" s="23" t="s">
        <v>1552</v>
      </c>
      <c r="H478" s="11"/>
      <c r="I478" s="24"/>
      <c r="J478" s="24">
        <v>6790</v>
      </c>
      <c r="K478" s="11" t="s">
        <v>17</v>
      </c>
      <c r="L478" s="19"/>
      <c r="M478" s="11" t="s">
        <v>31</v>
      </c>
    </row>
    <row r="479" spans="2:13" s="15" customFormat="1" ht="15" customHeight="1" x14ac:dyDescent="0.25">
      <c r="B479" s="11" t="s">
        <v>1553</v>
      </c>
      <c r="C479" s="16">
        <v>45430</v>
      </c>
      <c r="D479" s="23" t="s">
        <v>1505</v>
      </c>
      <c r="E479" s="11"/>
      <c r="F479" s="23" t="s">
        <v>1554</v>
      </c>
      <c r="G479" s="23" t="s">
        <v>1555</v>
      </c>
      <c r="H479" s="11">
        <v>2</v>
      </c>
      <c r="I479" s="24">
        <v>2875</v>
      </c>
      <c r="J479" s="24">
        <f>I479*H479</f>
        <v>5750</v>
      </c>
      <c r="K479" s="11" t="s">
        <v>25</v>
      </c>
      <c r="L479" s="19"/>
      <c r="M479" s="11" t="s">
        <v>18</v>
      </c>
    </row>
    <row r="480" spans="2:13" s="15" customFormat="1" ht="15" customHeight="1" x14ac:dyDescent="0.25">
      <c r="B480" s="11" t="s">
        <v>1556</v>
      </c>
      <c r="C480" s="16">
        <v>45432</v>
      </c>
      <c r="D480" s="23" t="s">
        <v>1505</v>
      </c>
      <c r="E480" s="11"/>
      <c r="F480" s="23" t="s">
        <v>1557</v>
      </c>
      <c r="G480" s="23" t="s">
        <v>1558</v>
      </c>
      <c r="H480" s="11">
        <v>100</v>
      </c>
      <c r="I480" s="24">
        <v>21.75</v>
      </c>
      <c r="J480" s="13">
        <v>2175</v>
      </c>
      <c r="K480" s="11" t="s">
        <v>25</v>
      </c>
      <c r="L480" s="19"/>
      <c r="M480" s="11" t="s">
        <v>18</v>
      </c>
    </row>
    <row r="481" spans="2:13" s="15" customFormat="1" ht="15" customHeight="1" x14ac:dyDescent="0.25">
      <c r="B481" s="11" t="s">
        <v>1559</v>
      </c>
      <c r="C481" s="16">
        <v>45432</v>
      </c>
      <c r="D481" s="23" t="s">
        <v>574</v>
      </c>
      <c r="E481" s="11"/>
      <c r="F481" s="23" t="s">
        <v>1560</v>
      </c>
      <c r="G481" s="23" t="s">
        <v>1561</v>
      </c>
      <c r="H481" s="11">
        <v>500</v>
      </c>
      <c r="I481" s="24">
        <v>13.85</v>
      </c>
      <c r="J481" s="13">
        <v>6925</v>
      </c>
      <c r="K481" s="11" t="s">
        <v>17</v>
      </c>
      <c r="L481" s="19"/>
      <c r="M481" s="11" t="s">
        <v>18</v>
      </c>
    </row>
    <row r="482" spans="2:13" s="15" customFormat="1" ht="15" customHeight="1" x14ac:dyDescent="0.25">
      <c r="B482" s="11" t="s">
        <v>1562</v>
      </c>
      <c r="C482" s="16">
        <v>45465</v>
      </c>
      <c r="D482" s="23" t="s">
        <v>1563</v>
      </c>
      <c r="E482" s="11"/>
      <c r="F482" s="23" t="s">
        <v>1564</v>
      </c>
      <c r="G482" s="23"/>
      <c r="H482" s="63">
        <v>1</v>
      </c>
      <c r="I482" s="24"/>
      <c r="J482" s="13">
        <v>2595</v>
      </c>
      <c r="K482" s="11" t="s">
        <v>17</v>
      </c>
      <c r="L482" s="19" t="s">
        <v>1291</v>
      </c>
      <c r="M482" s="11" t="s">
        <v>31</v>
      </c>
    </row>
    <row r="483" spans="2:13" s="15" customFormat="1" ht="15" customHeight="1" x14ac:dyDescent="0.25">
      <c r="B483" s="11" t="s">
        <v>1565</v>
      </c>
      <c r="C483" s="16">
        <v>45434</v>
      </c>
      <c r="D483" s="23" t="s">
        <v>241</v>
      </c>
      <c r="E483" s="11"/>
      <c r="F483" s="23" t="s">
        <v>259</v>
      </c>
      <c r="G483" s="23" t="s">
        <v>260</v>
      </c>
      <c r="H483" s="11">
        <v>5</v>
      </c>
      <c r="I483" s="24">
        <v>450</v>
      </c>
      <c r="J483" s="13">
        <v>2250</v>
      </c>
      <c r="K483" s="11" t="s">
        <v>17</v>
      </c>
      <c r="L483" s="19"/>
      <c r="M483" s="11" t="s">
        <v>31</v>
      </c>
    </row>
    <row r="484" spans="2:13" s="15" customFormat="1" ht="15" customHeight="1" x14ac:dyDescent="0.25">
      <c r="B484" s="11" t="s">
        <v>1566</v>
      </c>
      <c r="C484" s="16">
        <v>45443</v>
      </c>
      <c r="D484" s="23" t="s">
        <v>1199</v>
      </c>
      <c r="E484" s="11"/>
      <c r="F484" s="23" t="s">
        <v>1567</v>
      </c>
      <c r="G484" s="23"/>
      <c r="H484" s="11">
        <v>300</v>
      </c>
      <c r="I484" s="24">
        <v>34.950000000000003</v>
      </c>
      <c r="J484" s="13">
        <v>4345</v>
      </c>
      <c r="K484" s="11" t="s">
        <v>25</v>
      </c>
      <c r="L484" s="19"/>
      <c r="M484" s="11" t="s">
        <v>18</v>
      </c>
    </row>
    <row r="485" spans="2:13" s="15" customFormat="1" ht="15" customHeight="1" x14ac:dyDescent="0.25">
      <c r="B485" s="11" t="s">
        <v>1568</v>
      </c>
      <c r="C485" s="16">
        <v>45434</v>
      </c>
      <c r="D485" s="23" t="s">
        <v>1569</v>
      </c>
      <c r="E485" s="11"/>
      <c r="F485" s="23" t="s">
        <v>1570</v>
      </c>
      <c r="G485" s="31"/>
      <c r="H485" s="11">
        <v>500</v>
      </c>
      <c r="I485" s="24">
        <v>29.75</v>
      </c>
      <c r="J485" s="13">
        <v>14875</v>
      </c>
      <c r="K485" s="11" t="s">
        <v>25</v>
      </c>
      <c r="L485" s="19"/>
      <c r="M485" s="11" t="s">
        <v>18</v>
      </c>
    </row>
    <row r="486" spans="2:13" s="15" customFormat="1" ht="15" customHeight="1" x14ac:dyDescent="0.25">
      <c r="B486" s="11" t="s">
        <v>1571</v>
      </c>
      <c r="C486" s="16">
        <v>45434</v>
      </c>
      <c r="D486" s="23" t="s">
        <v>1572</v>
      </c>
      <c r="E486" s="11"/>
      <c r="F486" s="23" t="s">
        <v>1573</v>
      </c>
      <c r="G486" s="23"/>
      <c r="H486" s="11">
        <v>1</v>
      </c>
      <c r="I486" s="24">
        <v>1250</v>
      </c>
      <c r="J486" s="13">
        <v>1250</v>
      </c>
      <c r="K486" s="11" t="s">
        <v>25</v>
      </c>
      <c r="L486" s="19"/>
      <c r="M486" s="11" t="s">
        <v>18</v>
      </c>
    </row>
    <row r="487" spans="2:13" s="15" customFormat="1" ht="15" customHeight="1" x14ac:dyDescent="0.25">
      <c r="B487" s="11" t="s">
        <v>1574</v>
      </c>
      <c r="C487" s="16">
        <v>45434</v>
      </c>
      <c r="D487" s="23" t="s">
        <v>1575</v>
      </c>
      <c r="E487" s="11"/>
      <c r="F487" s="23" t="s">
        <v>1576</v>
      </c>
      <c r="G487" s="23"/>
      <c r="H487" s="11"/>
      <c r="I487" s="24"/>
      <c r="J487" s="13">
        <v>33926.400000000001</v>
      </c>
      <c r="K487" s="11" t="s">
        <v>25</v>
      </c>
      <c r="L487" s="19"/>
      <c r="M487" s="11" t="s">
        <v>18</v>
      </c>
    </row>
    <row r="488" spans="2:13" s="15" customFormat="1" ht="15" customHeight="1" x14ac:dyDescent="0.25">
      <c r="B488" s="11" t="s">
        <v>1577</v>
      </c>
      <c r="C488" s="16">
        <v>45434</v>
      </c>
      <c r="D488" s="23" t="s">
        <v>1578</v>
      </c>
      <c r="E488" s="11"/>
      <c r="F488" s="23" t="s">
        <v>1579</v>
      </c>
      <c r="G488" s="23"/>
      <c r="H488" s="11">
        <v>200</v>
      </c>
      <c r="I488" s="24"/>
      <c r="J488" s="13">
        <f>3050+1390</f>
        <v>4440</v>
      </c>
      <c r="K488" s="11" t="s">
        <v>25</v>
      </c>
      <c r="L488" s="19"/>
      <c r="M488" s="11" t="s">
        <v>18</v>
      </c>
    </row>
    <row r="489" spans="2:13" s="15" customFormat="1" ht="15" customHeight="1" x14ac:dyDescent="0.25">
      <c r="B489" s="11" t="s">
        <v>1580</v>
      </c>
      <c r="C489" s="16">
        <v>45434</v>
      </c>
      <c r="D489" s="23" t="s">
        <v>297</v>
      </c>
      <c r="E489" s="11"/>
      <c r="F489" s="23" t="s">
        <v>1581</v>
      </c>
      <c r="G489" s="23" t="s">
        <v>1582</v>
      </c>
      <c r="H489" s="11">
        <v>1100</v>
      </c>
      <c r="I489" s="24">
        <v>43.45</v>
      </c>
      <c r="J489" s="13">
        <v>47795</v>
      </c>
      <c r="K489" s="11" t="s">
        <v>25</v>
      </c>
      <c r="L489" s="19"/>
      <c r="M489" s="11" t="s">
        <v>18</v>
      </c>
    </row>
    <row r="490" spans="2:13" s="15" customFormat="1" ht="15" customHeight="1" x14ac:dyDescent="0.25">
      <c r="B490" s="11" t="s">
        <v>1583</v>
      </c>
      <c r="C490" s="16">
        <v>45434</v>
      </c>
      <c r="D490" s="23" t="s">
        <v>1027</v>
      </c>
      <c r="E490" s="11"/>
      <c r="F490" s="23" t="s">
        <v>1584</v>
      </c>
      <c r="G490" s="23" t="s">
        <v>1585</v>
      </c>
      <c r="H490" s="11">
        <v>10</v>
      </c>
      <c r="I490" s="24">
        <v>47.1</v>
      </c>
      <c r="J490" s="13">
        <v>471</v>
      </c>
      <c r="K490" s="11" t="s">
        <v>17</v>
      </c>
      <c r="L490" s="19"/>
      <c r="M490" s="11" t="s">
        <v>31</v>
      </c>
    </row>
    <row r="491" spans="2:13" s="15" customFormat="1" ht="15" customHeight="1" x14ac:dyDescent="0.25">
      <c r="B491" s="11" t="s">
        <v>1586</v>
      </c>
      <c r="C491" s="16">
        <v>45434</v>
      </c>
      <c r="D491" s="23" t="s">
        <v>1027</v>
      </c>
      <c r="E491" s="11"/>
      <c r="F491" s="23" t="s">
        <v>1587</v>
      </c>
      <c r="G491" s="23" t="s">
        <v>771</v>
      </c>
      <c r="H491" s="11">
        <v>60</v>
      </c>
      <c r="I491" s="24">
        <v>11.42</v>
      </c>
      <c r="J491" s="13">
        <v>685</v>
      </c>
      <c r="K491" s="11" t="s">
        <v>17</v>
      </c>
      <c r="L491" s="19"/>
      <c r="M491" s="11" t="s">
        <v>31</v>
      </c>
    </row>
    <row r="492" spans="2:13" s="15" customFormat="1" ht="15" customHeight="1" x14ac:dyDescent="0.25">
      <c r="B492" s="11" t="s">
        <v>1588</v>
      </c>
      <c r="C492" s="16">
        <v>45447</v>
      </c>
      <c r="D492" s="23" t="s">
        <v>1589</v>
      </c>
      <c r="E492" s="11"/>
      <c r="F492" s="23" t="s">
        <v>1590</v>
      </c>
      <c r="G492" s="23" t="s">
        <v>1591</v>
      </c>
      <c r="H492" s="11">
        <v>150</v>
      </c>
      <c r="I492" s="24">
        <v>5.3</v>
      </c>
      <c r="J492" s="13">
        <v>1895</v>
      </c>
      <c r="K492" s="11" t="s">
        <v>17</v>
      </c>
      <c r="L492" s="19"/>
      <c r="M492" s="11" t="s">
        <v>18</v>
      </c>
    </row>
    <row r="493" spans="2:13" s="15" customFormat="1" ht="15" customHeight="1" x14ac:dyDescent="0.25">
      <c r="B493" s="11" t="s">
        <v>1592</v>
      </c>
      <c r="C493" s="16">
        <v>45435</v>
      </c>
      <c r="D493" s="23" t="s">
        <v>381</v>
      </c>
      <c r="E493" s="11"/>
      <c r="F493" s="23" t="s">
        <v>1292</v>
      </c>
      <c r="G493" s="23" t="s">
        <v>1593</v>
      </c>
      <c r="H493" s="11">
        <v>2</v>
      </c>
      <c r="I493" s="24">
        <v>89.1</v>
      </c>
      <c r="J493" s="13">
        <v>178.2</v>
      </c>
      <c r="K493" s="11" t="s">
        <v>25</v>
      </c>
      <c r="L493" s="19"/>
      <c r="M493" s="11" t="s">
        <v>31</v>
      </c>
    </row>
    <row r="494" spans="2:13" s="15" customFormat="1" ht="15" customHeight="1" x14ac:dyDescent="0.25">
      <c r="B494" s="11" t="s">
        <v>1594</v>
      </c>
      <c r="C494" s="16">
        <v>45441</v>
      </c>
      <c r="D494" s="23" t="s">
        <v>1505</v>
      </c>
      <c r="E494" s="11"/>
      <c r="F494" s="23" t="s">
        <v>1595</v>
      </c>
      <c r="G494" s="23" t="s">
        <v>1596</v>
      </c>
      <c r="H494" s="11">
        <v>200</v>
      </c>
      <c r="I494" s="24">
        <v>18</v>
      </c>
      <c r="J494" s="13">
        <v>3600</v>
      </c>
      <c r="K494" s="11" t="s">
        <v>25</v>
      </c>
      <c r="L494" s="19"/>
      <c r="M494" s="11" t="s">
        <v>18</v>
      </c>
    </row>
    <row r="495" spans="2:13" s="15" customFormat="1" ht="15" customHeight="1" x14ac:dyDescent="0.25">
      <c r="B495" s="11" t="s">
        <v>1597</v>
      </c>
      <c r="C495" s="16">
        <v>45440</v>
      </c>
      <c r="D495" s="23" t="s">
        <v>601</v>
      </c>
      <c r="E495" s="11"/>
      <c r="F495" s="23" t="s">
        <v>1598</v>
      </c>
      <c r="G495" s="18" t="s">
        <v>1599</v>
      </c>
      <c r="H495" s="11">
        <v>150</v>
      </c>
      <c r="I495" s="24">
        <v>10.75</v>
      </c>
      <c r="J495" s="13">
        <v>1725</v>
      </c>
      <c r="K495" s="11" t="s">
        <v>25</v>
      </c>
      <c r="L495" s="19"/>
      <c r="M495" s="11" t="s">
        <v>31</v>
      </c>
    </row>
    <row r="496" spans="2:13" s="15" customFormat="1" ht="15" customHeight="1" x14ac:dyDescent="0.25">
      <c r="B496" s="11" t="s">
        <v>1600</v>
      </c>
      <c r="C496" s="16">
        <v>45435</v>
      </c>
      <c r="D496" t="s">
        <v>150</v>
      </c>
      <c r="E496" s="11"/>
      <c r="F496" s="23" t="s">
        <v>511</v>
      </c>
      <c r="G496" s="23" t="s">
        <v>1601</v>
      </c>
      <c r="H496" s="11">
        <v>200</v>
      </c>
      <c r="I496" s="24">
        <v>2.25</v>
      </c>
      <c r="J496" s="13">
        <v>450</v>
      </c>
      <c r="K496" s="11" t="s">
        <v>17</v>
      </c>
      <c r="L496" s="19"/>
      <c r="M496" s="11" t="s">
        <v>31</v>
      </c>
    </row>
    <row r="497" spans="2:13" s="15" customFormat="1" ht="15" customHeight="1" x14ac:dyDescent="0.25">
      <c r="B497" s="11" t="s">
        <v>1602</v>
      </c>
      <c r="C497" s="16">
        <v>45457</v>
      </c>
      <c r="D497" s="23" t="s">
        <v>1603</v>
      </c>
      <c r="E497" s="11"/>
      <c r="F497" s="23" t="s">
        <v>1604</v>
      </c>
      <c r="G497" s="23"/>
      <c r="H497" s="11"/>
      <c r="I497" s="24"/>
      <c r="J497" s="65">
        <v>45670</v>
      </c>
      <c r="K497" s="11" t="s">
        <v>25</v>
      </c>
      <c r="L497" s="19" t="s">
        <v>1605</v>
      </c>
      <c r="M497" s="11" t="s">
        <v>31</v>
      </c>
    </row>
    <row r="498" spans="2:13" s="15" customFormat="1" ht="15" customHeight="1" x14ac:dyDescent="0.25">
      <c r="B498" s="11" t="s">
        <v>1606</v>
      </c>
      <c r="C498" s="16">
        <v>45439</v>
      </c>
      <c r="D498" s="23" t="s">
        <v>1607</v>
      </c>
      <c r="E498" s="11"/>
      <c r="F498" s="23" t="s">
        <v>474</v>
      </c>
      <c r="G498" s="23" t="s">
        <v>1608</v>
      </c>
      <c r="H498" s="11">
        <v>8</v>
      </c>
      <c r="I498" s="24">
        <v>98</v>
      </c>
      <c r="J498" s="13">
        <v>784</v>
      </c>
      <c r="K498" s="11" t="s">
        <v>25</v>
      </c>
      <c r="L498" s="19"/>
      <c r="M498" s="11" t="s">
        <v>18</v>
      </c>
    </row>
    <row r="499" spans="2:13" s="15" customFormat="1" ht="15" customHeight="1" x14ac:dyDescent="0.25">
      <c r="B499" s="11" t="s">
        <v>1609</v>
      </c>
      <c r="C499" s="16">
        <v>45435</v>
      </c>
      <c r="D499" s="23" t="s">
        <v>1610</v>
      </c>
      <c r="E499" s="11"/>
      <c r="F499" s="23" t="s">
        <v>770</v>
      </c>
      <c r="G499" s="23" t="s">
        <v>756</v>
      </c>
      <c r="H499" s="11">
        <v>500</v>
      </c>
      <c r="I499" s="24"/>
      <c r="J499" s="13">
        <v>400</v>
      </c>
      <c r="K499" s="11" t="s">
        <v>25</v>
      </c>
      <c r="L499" s="19" t="s">
        <v>1464</v>
      </c>
      <c r="M499" s="11" t="s">
        <v>31</v>
      </c>
    </row>
    <row r="500" spans="2:13" s="15" customFormat="1" ht="15" customHeight="1" x14ac:dyDescent="0.25">
      <c r="B500" s="11" t="s">
        <v>1611</v>
      </c>
      <c r="C500" s="16">
        <v>45455</v>
      </c>
      <c r="D500" s="23" t="s">
        <v>1505</v>
      </c>
      <c r="E500" s="11"/>
      <c r="F500" s="23" t="s">
        <v>1612</v>
      </c>
      <c r="G500" s="23" t="s">
        <v>1613</v>
      </c>
      <c r="H500" s="11">
        <v>84</v>
      </c>
      <c r="I500" s="24">
        <v>37.25</v>
      </c>
      <c r="J500" s="65">
        <v>3129</v>
      </c>
      <c r="K500" s="11" t="s">
        <v>25</v>
      </c>
      <c r="L500" s="19"/>
      <c r="M500" s="11" t="s">
        <v>18</v>
      </c>
    </row>
    <row r="501" spans="2:13" s="15" customFormat="1" ht="15" customHeight="1" x14ac:dyDescent="0.25">
      <c r="B501" s="11" t="s">
        <v>1614</v>
      </c>
      <c r="C501" s="16">
        <v>45436</v>
      </c>
      <c r="D501" s="12" t="s">
        <v>1060</v>
      </c>
      <c r="E501" s="11"/>
      <c r="F501" s="12" t="s">
        <v>1615</v>
      </c>
      <c r="H501" s="11"/>
      <c r="I501" s="24"/>
      <c r="J501" s="13">
        <v>14002.5</v>
      </c>
      <c r="K501" s="11" t="s">
        <v>17</v>
      </c>
      <c r="L501" s="19"/>
      <c r="M501" s="11" t="s">
        <v>31</v>
      </c>
    </row>
    <row r="502" spans="2:13" s="15" customFormat="1" ht="15" customHeight="1" x14ac:dyDescent="0.25">
      <c r="B502" s="11" t="s">
        <v>1616</v>
      </c>
      <c r="C502" s="16">
        <v>45436</v>
      </c>
      <c r="D502" s="12" t="s">
        <v>1060</v>
      </c>
      <c r="E502" s="11"/>
      <c r="F502" s="12"/>
      <c r="G502" s="12" t="s">
        <v>1617</v>
      </c>
      <c r="H502" s="11"/>
      <c r="I502" s="24"/>
      <c r="J502" s="13">
        <v>590</v>
      </c>
      <c r="K502" s="11" t="s">
        <v>17</v>
      </c>
      <c r="L502" s="19"/>
      <c r="M502" s="11" t="s">
        <v>31</v>
      </c>
    </row>
    <row r="503" spans="2:13" s="15" customFormat="1" ht="15" customHeight="1" x14ac:dyDescent="0.25">
      <c r="B503" s="11" t="s">
        <v>1618</v>
      </c>
      <c r="C503" s="16">
        <v>45436</v>
      </c>
      <c r="D503" s="23" t="s">
        <v>426</v>
      </c>
      <c r="E503" s="11"/>
      <c r="F503" s="23" t="s">
        <v>1619</v>
      </c>
      <c r="G503" s="31"/>
      <c r="H503" s="11"/>
      <c r="I503" s="24"/>
      <c r="J503" s="13">
        <v>869</v>
      </c>
      <c r="K503" s="11" t="s">
        <v>17</v>
      </c>
      <c r="L503" s="19"/>
      <c r="M503" s="11" t="s">
        <v>31</v>
      </c>
    </row>
    <row r="504" spans="2:13" s="15" customFormat="1" ht="15" customHeight="1" x14ac:dyDescent="0.25">
      <c r="B504" s="11" t="s">
        <v>1620</v>
      </c>
      <c r="C504" s="16">
        <v>45436</v>
      </c>
      <c r="D504" s="12" t="s">
        <v>1589</v>
      </c>
      <c r="E504" s="11"/>
      <c r="F504" s="12" t="s">
        <v>1621</v>
      </c>
      <c r="G504" s="12" t="s">
        <v>1622</v>
      </c>
      <c r="H504" s="11">
        <v>200</v>
      </c>
      <c r="I504" s="24">
        <v>2.48</v>
      </c>
      <c r="J504" s="13">
        <v>495</v>
      </c>
      <c r="K504" s="11" t="s">
        <v>17</v>
      </c>
      <c r="L504" s="19"/>
      <c r="M504" s="11" t="s">
        <v>18</v>
      </c>
    </row>
    <row r="505" spans="2:13" s="15" customFormat="1" ht="15" customHeight="1" x14ac:dyDescent="0.25">
      <c r="B505" s="11" t="s">
        <v>1623</v>
      </c>
      <c r="C505" s="16">
        <v>45436</v>
      </c>
      <c r="D505" s="23" t="s">
        <v>758</v>
      </c>
      <c r="E505" s="11"/>
      <c r="F505" s="23" t="s">
        <v>1624</v>
      </c>
      <c r="G505" s="23"/>
      <c r="H505" s="11">
        <v>300</v>
      </c>
      <c r="I505" s="24"/>
      <c r="J505" s="13">
        <v>3930</v>
      </c>
      <c r="K505" s="11" t="s">
        <v>25</v>
      </c>
      <c r="L505" s="19"/>
      <c r="M505" s="11" t="s">
        <v>18</v>
      </c>
    </row>
    <row r="506" spans="2:13" s="15" customFormat="1" ht="15" customHeight="1" x14ac:dyDescent="0.25">
      <c r="B506" s="11" t="s">
        <v>1625</v>
      </c>
      <c r="C506" s="16">
        <v>45437</v>
      </c>
      <c r="D506" s="23" t="s">
        <v>27</v>
      </c>
      <c r="E506" s="11"/>
      <c r="F506" s="23" t="s">
        <v>922</v>
      </c>
      <c r="G506" s="23" t="s">
        <v>512</v>
      </c>
      <c r="H506" s="11">
        <v>300</v>
      </c>
      <c r="I506" s="24"/>
      <c r="J506" s="13">
        <v>275</v>
      </c>
      <c r="K506" s="11" t="s">
        <v>17</v>
      </c>
      <c r="L506" s="19"/>
      <c r="M506" s="11" t="s">
        <v>31</v>
      </c>
    </row>
    <row r="507" spans="2:13" s="15" customFormat="1" ht="15" customHeight="1" x14ac:dyDescent="0.25">
      <c r="B507" s="11" t="s">
        <v>1626</v>
      </c>
      <c r="C507" s="16">
        <v>45437</v>
      </c>
      <c r="D507" s="23" t="s">
        <v>907</v>
      </c>
      <c r="E507" s="11"/>
      <c r="F507" s="23" t="s">
        <v>1627</v>
      </c>
      <c r="G507" s="31" t="s">
        <v>1628</v>
      </c>
      <c r="H507" s="11">
        <v>75</v>
      </c>
      <c r="I507" s="51"/>
      <c r="J507" s="51">
        <v>2065</v>
      </c>
      <c r="K507" s="11" t="s">
        <v>17</v>
      </c>
      <c r="L507" s="19"/>
      <c r="M507" s="45" t="s">
        <v>31</v>
      </c>
    </row>
    <row r="508" spans="2:13" s="15" customFormat="1" ht="15" customHeight="1" x14ac:dyDescent="0.25">
      <c r="B508" s="11" t="s">
        <v>1629</v>
      </c>
      <c r="C508" s="16">
        <v>45437</v>
      </c>
      <c r="D508" s="23" t="s">
        <v>1630</v>
      </c>
      <c r="E508" s="11"/>
      <c r="F508" s="23" t="s">
        <v>1631</v>
      </c>
      <c r="G508" s="23" t="s">
        <v>1632</v>
      </c>
      <c r="H508" s="11">
        <v>50</v>
      </c>
      <c r="I508" s="24"/>
      <c r="J508" s="13">
        <v>2150</v>
      </c>
      <c r="K508" s="11" t="s">
        <v>17</v>
      </c>
      <c r="L508" s="19"/>
      <c r="M508" s="11" t="s">
        <v>18</v>
      </c>
    </row>
    <row r="509" spans="2:13" s="15" customFormat="1" ht="15" customHeight="1" x14ac:dyDescent="0.25">
      <c r="B509" s="11" t="s">
        <v>1633</v>
      </c>
      <c r="C509" s="16">
        <v>45437</v>
      </c>
      <c r="D509" s="23" t="s">
        <v>1634</v>
      </c>
      <c r="E509" s="11"/>
      <c r="F509" s="23" t="s">
        <v>1635</v>
      </c>
      <c r="G509" s="23" t="s">
        <v>1636</v>
      </c>
      <c r="H509" s="11">
        <v>50</v>
      </c>
      <c r="I509" s="24"/>
      <c r="J509" s="13">
        <v>16577.5</v>
      </c>
      <c r="K509" s="11" t="s">
        <v>17</v>
      </c>
      <c r="L509" s="19"/>
      <c r="M509" s="11" t="s">
        <v>18</v>
      </c>
    </row>
    <row r="510" spans="2:13" s="15" customFormat="1" ht="15" customHeight="1" x14ac:dyDescent="0.25">
      <c r="B510" s="11" t="s">
        <v>1637</v>
      </c>
      <c r="C510" s="16">
        <v>45439</v>
      </c>
      <c r="D510" s="23" t="s">
        <v>1578</v>
      </c>
      <c r="E510" s="11"/>
      <c r="F510" s="23" t="s">
        <v>780</v>
      </c>
      <c r="G510" s="23" t="s">
        <v>1638</v>
      </c>
      <c r="H510" s="11">
        <v>100</v>
      </c>
      <c r="I510" s="24"/>
      <c r="J510" s="13">
        <v>1685</v>
      </c>
      <c r="K510" s="11" t="s">
        <v>25</v>
      </c>
      <c r="L510" s="19"/>
      <c r="M510" s="11" t="s">
        <v>18</v>
      </c>
    </row>
    <row r="511" spans="2:13" s="15" customFormat="1" ht="15" customHeight="1" x14ac:dyDescent="0.25">
      <c r="B511" s="11" t="s">
        <v>1639</v>
      </c>
      <c r="C511" s="16">
        <v>45439</v>
      </c>
      <c r="D511" s="23" t="s">
        <v>1640</v>
      </c>
      <c r="E511" s="11"/>
      <c r="F511" s="23" t="s">
        <v>22</v>
      </c>
      <c r="G511" s="23" t="s">
        <v>152</v>
      </c>
      <c r="H511" s="11">
        <v>100</v>
      </c>
      <c r="I511" s="24"/>
      <c r="J511" s="13">
        <v>217.5</v>
      </c>
      <c r="K511" s="11" t="s">
        <v>17</v>
      </c>
      <c r="L511" s="19"/>
      <c r="M511" s="11" t="s">
        <v>31</v>
      </c>
    </row>
    <row r="512" spans="2:13" s="15" customFormat="1" ht="15" customHeight="1" x14ac:dyDescent="0.25">
      <c r="B512" s="11" t="s">
        <v>1641</v>
      </c>
      <c r="C512" s="16">
        <v>45439</v>
      </c>
      <c r="D512" s="12" t="s">
        <v>167</v>
      </c>
      <c r="E512" s="11"/>
      <c r="F512" s="12" t="s">
        <v>1642</v>
      </c>
      <c r="G512" s="12" t="s">
        <v>1643</v>
      </c>
      <c r="H512" s="11">
        <v>1254</v>
      </c>
      <c r="I512" s="24"/>
      <c r="J512" s="13">
        <v>15863.1</v>
      </c>
      <c r="K512" s="11" t="s">
        <v>25</v>
      </c>
      <c r="L512" s="19"/>
      <c r="M512" s="11" t="s">
        <v>18</v>
      </c>
    </row>
    <row r="513" spans="2:15" s="15" customFormat="1" ht="15" customHeight="1" x14ac:dyDescent="0.25">
      <c r="B513" s="11" t="s">
        <v>1644</v>
      </c>
      <c r="C513" s="16">
        <v>45441</v>
      </c>
      <c r="D513" s="12" t="s">
        <v>1505</v>
      </c>
      <c r="E513" s="11"/>
      <c r="F513" s="12" t="s">
        <v>1645</v>
      </c>
      <c r="G513" s="12" t="s">
        <v>1646</v>
      </c>
      <c r="H513" s="11">
        <v>100</v>
      </c>
      <c r="I513" s="24"/>
      <c r="J513" s="13">
        <v>4500</v>
      </c>
      <c r="K513" s="11" t="s">
        <v>25</v>
      </c>
      <c r="L513" s="19"/>
      <c r="M513" s="11" t="s">
        <v>18</v>
      </c>
    </row>
    <row r="514" spans="2:15" s="15" customFormat="1" ht="15" customHeight="1" x14ac:dyDescent="0.25">
      <c r="B514" s="11" t="s">
        <v>1647</v>
      </c>
      <c r="C514" s="16">
        <v>45439</v>
      </c>
      <c r="D514" s="66" t="s">
        <v>630</v>
      </c>
      <c r="E514" s="11"/>
      <c r="F514" s="23" t="s">
        <v>1431</v>
      </c>
      <c r="G514" s="23" t="s">
        <v>1648</v>
      </c>
      <c r="H514" s="11">
        <v>1</v>
      </c>
      <c r="I514" s="24"/>
      <c r="J514" s="13">
        <v>2875</v>
      </c>
      <c r="K514" s="67" t="s">
        <v>1649</v>
      </c>
      <c r="L514" s="19"/>
      <c r="M514" s="11" t="s">
        <v>31</v>
      </c>
      <c r="O514" s="7"/>
    </row>
    <row r="515" spans="2:15" s="15" customFormat="1" ht="15" customHeight="1" x14ac:dyDescent="0.25">
      <c r="B515" s="11" t="s">
        <v>1650</v>
      </c>
      <c r="C515" s="16">
        <v>45439</v>
      </c>
      <c r="D515" s="12" t="s">
        <v>1060</v>
      </c>
      <c r="E515" s="11"/>
      <c r="F515" s="12" t="s">
        <v>1651</v>
      </c>
      <c r="G515" s="31"/>
      <c r="H515" s="11">
        <v>5</v>
      </c>
      <c r="I515" s="24"/>
      <c r="J515" s="13">
        <v>2669.25</v>
      </c>
      <c r="K515" s="11" t="s">
        <v>17</v>
      </c>
      <c r="L515" s="19"/>
      <c r="M515" s="11" t="s">
        <v>18</v>
      </c>
    </row>
    <row r="516" spans="2:15" s="15" customFormat="1" ht="15" customHeight="1" x14ac:dyDescent="0.25">
      <c r="B516" s="11" t="s">
        <v>1652</v>
      </c>
      <c r="C516" s="16">
        <v>45440</v>
      </c>
      <c r="D516" s="23" t="s">
        <v>564</v>
      </c>
      <c r="E516" s="11"/>
      <c r="F516" s="23" t="s">
        <v>1653</v>
      </c>
      <c r="G516" s="23" t="s">
        <v>1654</v>
      </c>
      <c r="H516" s="11" t="s">
        <v>1655</v>
      </c>
      <c r="I516" s="24"/>
      <c r="J516" s="13">
        <v>7425</v>
      </c>
      <c r="K516" s="11" t="s">
        <v>25</v>
      </c>
      <c r="L516" s="19"/>
      <c r="M516" s="11" t="s">
        <v>31</v>
      </c>
    </row>
    <row r="517" spans="2:15" s="15" customFormat="1" ht="15" customHeight="1" x14ac:dyDescent="0.25">
      <c r="B517" s="11" t="s">
        <v>1656</v>
      </c>
      <c r="C517" s="16">
        <v>45440</v>
      </c>
      <c r="D517" s="23" t="s">
        <v>463</v>
      </c>
      <c r="E517" s="11"/>
      <c r="F517" s="23" t="s">
        <v>1657</v>
      </c>
      <c r="G517" s="23" t="s">
        <v>1419</v>
      </c>
      <c r="H517" s="11">
        <v>200</v>
      </c>
      <c r="I517" s="24"/>
      <c r="J517" s="13">
        <v>5650</v>
      </c>
      <c r="K517" s="11" t="s">
        <v>17</v>
      </c>
      <c r="L517" s="19"/>
      <c r="M517" s="11" t="s">
        <v>18</v>
      </c>
    </row>
    <row r="518" spans="2:15" s="15" customFormat="1" ht="15" customHeight="1" x14ac:dyDescent="0.25">
      <c r="B518" s="11" t="s">
        <v>1658</v>
      </c>
      <c r="C518" s="16">
        <v>45447</v>
      </c>
      <c r="D518" s="23" t="s">
        <v>1578</v>
      </c>
      <c r="E518" s="11"/>
      <c r="F518" s="23" t="s">
        <v>1659</v>
      </c>
      <c r="G518" s="23" t="s">
        <v>1660</v>
      </c>
      <c r="H518" s="11">
        <v>100</v>
      </c>
      <c r="I518" s="24"/>
      <c r="J518" s="13">
        <v>4787.5</v>
      </c>
      <c r="K518" s="11" t="s">
        <v>25</v>
      </c>
      <c r="L518" s="19"/>
      <c r="M518" s="11" t="s">
        <v>18</v>
      </c>
    </row>
    <row r="519" spans="2:15" s="15" customFormat="1" ht="15" customHeight="1" x14ac:dyDescent="0.25">
      <c r="B519" s="11" t="s">
        <v>1661</v>
      </c>
      <c r="C519" s="16">
        <v>45440</v>
      </c>
      <c r="D519" s="23" t="s">
        <v>1027</v>
      </c>
      <c r="E519" s="11"/>
      <c r="F519" s="23" t="s">
        <v>1662</v>
      </c>
      <c r="G519" s="15" t="s">
        <v>331</v>
      </c>
      <c r="H519" s="11">
        <v>100</v>
      </c>
      <c r="I519" s="24">
        <v>84.25</v>
      </c>
      <c r="J519" s="13">
        <v>8425</v>
      </c>
      <c r="K519" s="11" t="s">
        <v>17</v>
      </c>
      <c r="L519" s="19"/>
      <c r="M519" s="11" t="s">
        <v>18</v>
      </c>
    </row>
    <row r="520" spans="2:15" s="15" customFormat="1" ht="15" customHeight="1" x14ac:dyDescent="0.25">
      <c r="B520" s="11" t="s">
        <v>1663</v>
      </c>
      <c r="C520" s="16">
        <v>45440</v>
      </c>
      <c r="D520" s="12" t="s">
        <v>763</v>
      </c>
      <c r="E520" s="11"/>
      <c r="F520" s="12" t="s">
        <v>1664</v>
      </c>
      <c r="G520" s="12" t="s">
        <v>728</v>
      </c>
      <c r="H520" s="11">
        <v>150</v>
      </c>
      <c r="I520" s="24"/>
      <c r="J520" s="13">
        <v>3135</v>
      </c>
      <c r="K520" s="11" t="s">
        <v>25</v>
      </c>
      <c r="L520" s="19"/>
      <c r="M520" s="11" t="s">
        <v>18</v>
      </c>
    </row>
    <row r="521" spans="2:15" s="15" customFormat="1" ht="15" customHeight="1" x14ac:dyDescent="0.25">
      <c r="B521" s="11" t="s">
        <v>1665</v>
      </c>
      <c r="C521" s="16">
        <v>45441</v>
      </c>
      <c r="D521" s="12" t="s">
        <v>1666</v>
      </c>
      <c r="E521" s="11"/>
      <c r="F521" s="12" t="s">
        <v>1667</v>
      </c>
      <c r="G521" s="12" t="s">
        <v>1668</v>
      </c>
      <c r="H521" s="11">
        <v>1</v>
      </c>
      <c r="I521" s="24"/>
      <c r="J521" s="13">
        <v>1250</v>
      </c>
      <c r="K521" s="11" t="s">
        <v>25</v>
      </c>
      <c r="L521" s="19"/>
      <c r="M521" s="11" t="s">
        <v>18</v>
      </c>
    </row>
    <row r="522" spans="2:15" s="15" customFormat="1" ht="15" customHeight="1" x14ac:dyDescent="0.25">
      <c r="B522" s="11" t="s">
        <v>1669</v>
      </c>
      <c r="C522" s="16">
        <v>45441</v>
      </c>
      <c r="D522" s="12" t="s">
        <v>1670</v>
      </c>
      <c r="E522" s="11"/>
      <c r="F522" s="12" t="s">
        <v>1671</v>
      </c>
      <c r="G522" s="31" t="s">
        <v>1672</v>
      </c>
      <c r="H522" s="11">
        <v>1</v>
      </c>
      <c r="I522" s="24"/>
      <c r="J522" s="13">
        <v>2275</v>
      </c>
      <c r="K522" s="11" t="s">
        <v>25</v>
      </c>
      <c r="L522" s="19"/>
      <c r="M522" s="11" t="s">
        <v>18</v>
      </c>
    </row>
    <row r="523" spans="2:15" s="15" customFormat="1" ht="15" customHeight="1" x14ac:dyDescent="0.25">
      <c r="B523" s="11" t="s">
        <v>1673</v>
      </c>
      <c r="C523" s="16">
        <v>45441</v>
      </c>
      <c r="D523" s="12" t="s">
        <v>1674</v>
      </c>
      <c r="E523" s="11"/>
      <c r="F523" s="12" t="s">
        <v>1675</v>
      </c>
      <c r="G523" s="12" t="s">
        <v>1676</v>
      </c>
      <c r="H523" s="11">
        <v>6</v>
      </c>
      <c r="I523" s="24"/>
      <c r="J523" s="13">
        <v>425</v>
      </c>
      <c r="K523" s="11" t="s">
        <v>25</v>
      </c>
      <c r="L523" s="19"/>
      <c r="M523" s="11" t="s">
        <v>18</v>
      </c>
    </row>
    <row r="524" spans="2:15" s="15" customFormat="1" ht="15" customHeight="1" x14ac:dyDescent="0.25">
      <c r="B524" s="11" t="s">
        <v>1677</v>
      </c>
      <c r="C524" s="16">
        <v>45447</v>
      </c>
      <c r="D524" s="23" t="s">
        <v>426</v>
      </c>
      <c r="E524" s="11"/>
      <c r="F524" s="23" t="s">
        <v>1678</v>
      </c>
      <c r="G524" s="23" t="s">
        <v>1679</v>
      </c>
      <c r="H524" s="11"/>
      <c r="I524" s="24"/>
      <c r="J524" s="13">
        <v>427.5</v>
      </c>
      <c r="K524" s="11" t="s">
        <v>17</v>
      </c>
      <c r="L524" s="19"/>
      <c r="M524" s="11" t="s">
        <v>31</v>
      </c>
    </row>
    <row r="525" spans="2:15" s="15" customFormat="1" ht="15" customHeight="1" x14ac:dyDescent="0.25">
      <c r="B525" s="11" t="s">
        <v>1680</v>
      </c>
      <c r="C525" s="16">
        <v>45441</v>
      </c>
      <c r="D525" s="23" t="s">
        <v>1459</v>
      </c>
      <c r="E525" s="11"/>
      <c r="F525" s="23" t="s">
        <v>1681</v>
      </c>
      <c r="G525" s="23"/>
      <c r="H525" s="11"/>
      <c r="I525" s="24"/>
      <c r="J525" s="13">
        <f>1285+415+365</f>
        <v>2065</v>
      </c>
      <c r="K525" s="11" t="s">
        <v>25</v>
      </c>
      <c r="L525" s="19"/>
      <c r="M525" s="11" t="s">
        <v>18</v>
      </c>
    </row>
    <row r="526" spans="2:15" s="15" customFormat="1" ht="15" customHeight="1" x14ac:dyDescent="0.25">
      <c r="B526" s="11" t="s">
        <v>1682</v>
      </c>
      <c r="C526" s="16">
        <v>45441</v>
      </c>
      <c r="D526" s="23" t="s">
        <v>27</v>
      </c>
      <c r="E526" s="11"/>
      <c r="F526" s="23" t="s">
        <v>1683</v>
      </c>
      <c r="G526" s="23"/>
      <c r="H526" s="11"/>
      <c r="I526" s="24"/>
      <c r="J526" s="13">
        <v>9397</v>
      </c>
      <c r="K526" s="11" t="s">
        <v>17</v>
      </c>
      <c r="L526" s="19"/>
      <c r="M526" s="11" t="s">
        <v>31</v>
      </c>
    </row>
    <row r="527" spans="2:15" s="15" customFormat="1" ht="15" customHeight="1" x14ac:dyDescent="0.25">
      <c r="B527" s="11" t="s">
        <v>1684</v>
      </c>
      <c r="C527" s="16">
        <v>45441</v>
      </c>
      <c r="D527" s="23" t="s">
        <v>1685</v>
      </c>
      <c r="E527" s="11"/>
      <c r="F527" s="23" t="s">
        <v>999</v>
      </c>
      <c r="G527" s="23" t="s">
        <v>1686</v>
      </c>
      <c r="H527" s="11">
        <v>1</v>
      </c>
      <c r="I527" s="24"/>
      <c r="J527" s="13">
        <v>1310</v>
      </c>
      <c r="K527" s="11" t="s">
        <v>25</v>
      </c>
      <c r="L527" s="19"/>
      <c r="M527" s="11" t="s">
        <v>18</v>
      </c>
    </row>
    <row r="528" spans="2:15" s="15" customFormat="1" ht="15" customHeight="1" x14ac:dyDescent="0.25">
      <c r="B528" s="11" t="s">
        <v>1687</v>
      </c>
      <c r="C528" s="16">
        <v>45441</v>
      </c>
      <c r="D528" s="23" t="s">
        <v>763</v>
      </c>
      <c r="E528" s="11"/>
      <c r="F528" s="23" t="s">
        <v>1688</v>
      </c>
      <c r="G528" s="23" t="s">
        <v>1689</v>
      </c>
      <c r="H528" s="11">
        <v>50</v>
      </c>
      <c r="I528" s="24"/>
      <c r="J528" s="13">
        <v>2132</v>
      </c>
      <c r="K528" s="11" t="s">
        <v>25</v>
      </c>
      <c r="L528" s="19"/>
      <c r="M528" s="11" t="s">
        <v>18</v>
      </c>
    </row>
    <row r="529" spans="2:15" s="15" customFormat="1" ht="15" customHeight="1" x14ac:dyDescent="0.25">
      <c r="B529" s="11" t="s">
        <v>1690</v>
      </c>
      <c r="C529" s="16">
        <v>45455</v>
      </c>
      <c r="D529" s="66" t="s">
        <v>429</v>
      </c>
      <c r="E529" s="11"/>
      <c r="F529" s="23" t="s">
        <v>1691</v>
      </c>
      <c r="G529" s="23" t="s">
        <v>1692</v>
      </c>
      <c r="H529" s="11">
        <v>50</v>
      </c>
      <c r="I529" s="24"/>
      <c r="J529" s="13">
        <v>4637.5</v>
      </c>
      <c r="K529" s="67" t="s">
        <v>1649</v>
      </c>
      <c r="L529" s="19"/>
      <c r="M529" s="11" t="s">
        <v>18</v>
      </c>
      <c r="O529" s="7"/>
    </row>
    <row r="530" spans="2:15" s="15" customFormat="1" ht="15" customHeight="1" x14ac:dyDescent="0.25">
      <c r="B530" s="11" t="s">
        <v>1693</v>
      </c>
      <c r="C530" s="16">
        <v>45448</v>
      </c>
      <c r="D530" s="23" t="s">
        <v>241</v>
      </c>
      <c r="E530" s="11"/>
      <c r="F530" s="23" t="s">
        <v>197</v>
      </c>
      <c r="G530" s="23" t="s">
        <v>397</v>
      </c>
      <c r="H530" s="11" t="s">
        <v>1694</v>
      </c>
      <c r="I530" s="24">
        <v>210</v>
      </c>
      <c r="J530" s="13">
        <v>420</v>
      </c>
      <c r="K530" s="11" t="s">
        <v>17</v>
      </c>
      <c r="L530" s="19" t="s">
        <v>1202</v>
      </c>
      <c r="M530" s="11" t="s">
        <v>31</v>
      </c>
    </row>
    <row r="531" spans="2:15" s="15" customFormat="1" ht="15" customHeight="1" x14ac:dyDescent="0.25">
      <c r="B531" s="11" t="s">
        <v>1695</v>
      </c>
      <c r="C531" s="16">
        <v>45442</v>
      </c>
      <c r="D531" s="23" t="s">
        <v>1060</v>
      </c>
      <c r="E531" s="11"/>
      <c r="F531" s="23" t="s">
        <v>1696</v>
      </c>
      <c r="G531" s="23" t="s">
        <v>1697</v>
      </c>
      <c r="H531" s="11"/>
      <c r="I531" s="24"/>
      <c r="J531" s="13">
        <v>187.5</v>
      </c>
      <c r="K531" s="11" t="s">
        <v>17</v>
      </c>
      <c r="L531" s="19"/>
      <c r="M531" s="11" t="s">
        <v>31</v>
      </c>
    </row>
    <row r="532" spans="2:15" s="15" customFormat="1" ht="15" customHeight="1" x14ac:dyDescent="0.25">
      <c r="B532" s="11" t="s">
        <v>1698</v>
      </c>
      <c r="C532" s="16">
        <v>45442</v>
      </c>
      <c r="D532" s="23" t="s">
        <v>1699</v>
      </c>
      <c r="E532" s="11"/>
      <c r="F532" s="23" t="s">
        <v>1700</v>
      </c>
      <c r="G532" s="23" t="s">
        <v>1701</v>
      </c>
      <c r="H532" s="11">
        <v>1</v>
      </c>
      <c r="I532" s="24"/>
      <c r="J532" s="13">
        <v>4500</v>
      </c>
      <c r="K532" s="11" t="s">
        <v>17</v>
      </c>
      <c r="L532" s="19"/>
      <c r="M532" s="11" t="s">
        <v>18</v>
      </c>
    </row>
    <row r="533" spans="2:15" s="15" customFormat="1" ht="15" customHeight="1" x14ac:dyDescent="0.25">
      <c r="B533" s="11" t="s">
        <v>1702</v>
      </c>
      <c r="C533" s="16">
        <v>45442</v>
      </c>
      <c r="D533" s="23" t="s">
        <v>1699</v>
      </c>
      <c r="E533" s="11"/>
      <c r="F533" s="23" t="s">
        <v>1703</v>
      </c>
      <c r="G533" s="23"/>
      <c r="H533" s="11"/>
      <c r="I533" s="24"/>
      <c r="J533" s="13">
        <v>2500</v>
      </c>
      <c r="K533" s="11" t="s">
        <v>17</v>
      </c>
      <c r="L533" s="19"/>
      <c r="M533" s="11" t="s">
        <v>18</v>
      </c>
    </row>
    <row r="534" spans="2:15" s="15" customFormat="1" ht="15" customHeight="1" x14ac:dyDescent="0.25">
      <c r="B534" s="11" t="s">
        <v>1704</v>
      </c>
      <c r="C534" s="16">
        <v>45442</v>
      </c>
      <c r="D534" s="23" t="s">
        <v>1118</v>
      </c>
      <c r="E534" s="11"/>
      <c r="F534" s="23" t="s">
        <v>66</v>
      </c>
      <c r="G534" s="23" t="s">
        <v>1705</v>
      </c>
      <c r="H534" s="11">
        <v>2</v>
      </c>
      <c r="I534" s="24"/>
      <c r="J534" s="13">
        <v>124</v>
      </c>
      <c r="K534" s="11" t="s">
        <v>17</v>
      </c>
      <c r="L534" s="19"/>
      <c r="M534" s="11" t="s">
        <v>31</v>
      </c>
    </row>
    <row r="535" spans="2:15" s="15" customFormat="1" ht="15" customHeight="1" x14ac:dyDescent="0.25">
      <c r="B535" s="11" t="s">
        <v>1706</v>
      </c>
      <c r="C535" s="16">
        <v>45443</v>
      </c>
      <c r="D535" s="23" t="s">
        <v>142</v>
      </c>
      <c r="E535" s="11"/>
      <c r="F535" s="23" t="s">
        <v>1707</v>
      </c>
      <c r="G535" s="23" t="s">
        <v>1708</v>
      </c>
      <c r="H535" s="11"/>
      <c r="I535" s="24"/>
      <c r="J535" s="13">
        <f>1695+115</f>
        <v>1810</v>
      </c>
      <c r="K535" s="11" t="s">
        <v>25</v>
      </c>
      <c r="L535" s="19"/>
      <c r="M535" s="11" t="s">
        <v>18</v>
      </c>
    </row>
    <row r="536" spans="2:15" s="15" customFormat="1" ht="15" customHeight="1" x14ac:dyDescent="0.25">
      <c r="B536" s="11" t="s">
        <v>1709</v>
      </c>
      <c r="C536" s="16">
        <v>45446</v>
      </c>
      <c r="D536" s="23" t="s">
        <v>1710</v>
      </c>
      <c r="E536" s="11"/>
      <c r="F536" s="23" t="s">
        <v>1711</v>
      </c>
      <c r="G536" s="23" t="s">
        <v>1712</v>
      </c>
      <c r="H536" s="11">
        <v>5</v>
      </c>
      <c r="I536" s="24">
        <v>15</v>
      </c>
      <c r="J536" s="13">
        <v>75</v>
      </c>
      <c r="K536" s="11" t="s">
        <v>25</v>
      </c>
      <c r="L536" s="19"/>
      <c r="M536" s="11" t="s">
        <v>18</v>
      </c>
    </row>
    <row r="537" spans="2:15" s="15" customFormat="1" ht="15" customHeight="1" x14ac:dyDescent="0.25">
      <c r="B537" s="11" t="s">
        <v>1713</v>
      </c>
      <c r="C537" s="16">
        <v>45446</v>
      </c>
      <c r="D537" s="23" t="s">
        <v>381</v>
      </c>
      <c r="E537" s="11"/>
      <c r="F537" s="23" t="s">
        <v>1714</v>
      </c>
      <c r="G537" s="23" t="s">
        <v>1715</v>
      </c>
      <c r="H537" s="11">
        <v>7</v>
      </c>
      <c r="I537" s="24">
        <v>46.25</v>
      </c>
      <c r="J537" s="13">
        <v>323.75</v>
      </c>
      <c r="K537" s="11" t="s">
        <v>25</v>
      </c>
      <c r="L537" s="19"/>
      <c r="M537" s="11" t="s">
        <v>18</v>
      </c>
    </row>
    <row r="538" spans="2:15" s="15" customFormat="1" ht="15" customHeight="1" x14ac:dyDescent="0.25">
      <c r="B538" s="11" t="s">
        <v>1716</v>
      </c>
      <c r="C538" s="16">
        <v>45443</v>
      </c>
      <c r="D538" s="23" t="s">
        <v>1060</v>
      </c>
      <c r="E538" s="11"/>
      <c r="F538" s="23" t="s">
        <v>856</v>
      </c>
      <c r="G538" s="23" t="s">
        <v>152</v>
      </c>
      <c r="H538" s="11" t="s">
        <v>1717</v>
      </c>
      <c r="I538" s="24">
        <v>80</v>
      </c>
      <c r="J538" s="13">
        <v>160</v>
      </c>
      <c r="K538" s="11" t="s">
        <v>17</v>
      </c>
      <c r="L538" s="19"/>
      <c r="M538" s="11" t="s">
        <v>31</v>
      </c>
    </row>
    <row r="539" spans="2:15" s="15" customFormat="1" ht="15" customHeight="1" x14ac:dyDescent="0.25">
      <c r="B539" s="11" t="s">
        <v>1718</v>
      </c>
      <c r="C539" s="16">
        <v>45446</v>
      </c>
      <c r="D539" s="23" t="s">
        <v>1719</v>
      </c>
      <c r="E539" s="11"/>
      <c r="F539" s="23" t="s">
        <v>1720</v>
      </c>
      <c r="G539" s="23" t="s">
        <v>756</v>
      </c>
      <c r="H539" s="11">
        <v>100</v>
      </c>
      <c r="I539" s="24">
        <v>16.350000000000001</v>
      </c>
      <c r="J539" s="13">
        <v>1635</v>
      </c>
      <c r="K539" s="11" t="s">
        <v>25</v>
      </c>
      <c r="L539" s="19"/>
      <c r="M539" s="11" t="s">
        <v>18</v>
      </c>
    </row>
    <row r="540" spans="2:15" s="15" customFormat="1" ht="15" customHeight="1" x14ac:dyDescent="0.25">
      <c r="B540" s="11" t="s">
        <v>1721</v>
      </c>
      <c r="C540" s="16">
        <v>45454</v>
      </c>
      <c r="D540" s="23" t="s">
        <v>1722</v>
      </c>
      <c r="E540" s="11"/>
      <c r="F540" s="23" t="s">
        <v>1707</v>
      </c>
      <c r="G540" s="23" t="s">
        <v>771</v>
      </c>
      <c r="H540" s="11">
        <v>25000</v>
      </c>
      <c r="I540" s="24">
        <v>0.33500000000000002</v>
      </c>
      <c r="J540" s="13">
        <v>8375</v>
      </c>
      <c r="K540" s="11" t="s">
        <v>25</v>
      </c>
      <c r="L540" s="19" t="s">
        <v>1723</v>
      </c>
      <c r="M540" s="11" t="s">
        <v>31</v>
      </c>
    </row>
    <row r="541" spans="2:15" s="15" customFormat="1" ht="15" customHeight="1" x14ac:dyDescent="0.25">
      <c r="B541" s="11" t="s">
        <v>1724</v>
      </c>
      <c r="C541" s="16">
        <v>45447</v>
      </c>
      <c r="D541" s="23" t="s">
        <v>1725</v>
      </c>
      <c r="E541" s="11"/>
      <c r="F541" s="23" t="s">
        <v>1726</v>
      </c>
      <c r="G541" s="23"/>
      <c r="H541" s="11">
        <v>200</v>
      </c>
      <c r="I541" s="24"/>
      <c r="J541" s="13">
        <v>16797.5</v>
      </c>
      <c r="K541" s="11" t="s">
        <v>25</v>
      </c>
      <c r="L541" s="19"/>
      <c r="M541" s="11" t="s">
        <v>18</v>
      </c>
    </row>
    <row r="542" spans="2:15" s="15" customFormat="1" ht="15" customHeight="1" x14ac:dyDescent="0.25">
      <c r="B542" s="11" t="s">
        <v>1727</v>
      </c>
      <c r="C542" s="16">
        <v>45447</v>
      </c>
      <c r="D542" s="23" t="s">
        <v>1175</v>
      </c>
      <c r="E542" s="11"/>
      <c r="F542" s="23" t="s">
        <v>1728</v>
      </c>
      <c r="G542" s="23" t="s">
        <v>1729</v>
      </c>
      <c r="H542" s="11">
        <v>1</v>
      </c>
      <c r="I542" s="24">
        <v>175</v>
      </c>
      <c r="J542" s="13">
        <v>175</v>
      </c>
      <c r="K542" s="11" t="s">
        <v>25</v>
      </c>
      <c r="L542" s="19"/>
      <c r="M542" s="11" t="s">
        <v>18</v>
      </c>
    </row>
    <row r="543" spans="2:15" s="15" customFormat="1" ht="15" customHeight="1" x14ac:dyDescent="0.25">
      <c r="B543" s="11" t="s">
        <v>1730</v>
      </c>
      <c r="C543" s="16">
        <v>45447</v>
      </c>
      <c r="D543" s="23" t="s">
        <v>574</v>
      </c>
      <c r="E543" s="11"/>
      <c r="F543" t="s">
        <v>1731</v>
      </c>
      <c r="G543" s="23" t="s">
        <v>1732</v>
      </c>
      <c r="H543" s="11">
        <v>1</v>
      </c>
      <c r="I543" s="24">
        <v>7350</v>
      </c>
      <c r="J543" s="65">
        <v>7350</v>
      </c>
      <c r="K543" s="11" t="s">
        <v>17</v>
      </c>
      <c r="L543" s="19"/>
      <c r="M543" s="11" t="s">
        <v>18</v>
      </c>
    </row>
    <row r="544" spans="2:15" s="15" customFormat="1" ht="15" customHeight="1" x14ac:dyDescent="0.25">
      <c r="B544" s="11" t="s">
        <v>1733</v>
      </c>
      <c r="C544" s="16">
        <v>45447</v>
      </c>
      <c r="D544" s="23" t="s">
        <v>574</v>
      </c>
      <c r="E544" s="11"/>
      <c r="F544" s="23" t="s">
        <v>1731</v>
      </c>
      <c r="G544" s="23" t="s">
        <v>1734</v>
      </c>
      <c r="H544" s="11">
        <v>1</v>
      </c>
      <c r="I544" s="24">
        <v>6650</v>
      </c>
      <c r="J544" s="65">
        <v>6650</v>
      </c>
      <c r="K544" s="11" t="s">
        <v>17</v>
      </c>
      <c r="L544" s="19"/>
      <c r="M544" s="11" t="s">
        <v>18</v>
      </c>
    </row>
    <row r="545" spans="2:15" s="15" customFormat="1" ht="15" customHeight="1" x14ac:dyDescent="0.25">
      <c r="B545" s="11" t="s">
        <v>1735</v>
      </c>
      <c r="C545" s="16">
        <v>45447</v>
      </c>
      <c r="D545" s="23" t="s">
        <v>429</v>
      </c>
      <c r="E545" s="11"/>
      <c r="F545" s="23" t="s">
        <v>1736</v>
      </c>
      <c r="G545" s="23" t="s">
        <v>1737</v>
      </c>
      <c r="H545" s="11">
        <v>105</v>
      </c>
      <c r="I545" s="24">
        <v>11.75</v>
      </c>
      <c r="J545" s="13">
        <v>1233.75</v>
      </c>
      <c r="K545" s="11" t="s">
        <v>25</v>
      </c>
      <c r="L545" s="19"/>
      <c r="M545" s="11" t="s">
        <v>31</v>
      </c>
    </row>
    <row r="546" spans="2:15" s="15" customFormat="1" ht="15" customHeight="1" x14ac:dyDescent="0.25">
      <c r="B546" s="11" t="s">
        <v>1738</v>
      </c>
      <c r="C546" s="16">
        <v>45447</v>
      </c>
      <c r="D546" t="s">
        <v>1739</v>
      </c>
      <c r="E546" s="11"/>
      <c r="F546" s="23" t="s">
        <v>259</v>
      </c>
      <c r="G546" s="23" t="s">
        <v>1740</v>
      </c>
      <c r="H546" s="11">
        <v>25</v>
      </c>
      <c r="I546" s="24">
        <v>224.15</v>
      </c>
      <c r="J546" s="65">
        <v>5603.75</v>
      </c>
      <c r="K546" s="11" t="s">
        <v>17</v>
      </c>
      <c r="L546" s="19"/>
      <c r="M546" s="11" t="s">
        <v>18</v>
      </c>
    </row>
    <row r="547" spans="2:15" s="46" customFormat="1" ht="15" customHeight="1" x14ac:dyDescent="0.25">
      <c r="B547" s="45" t="s">
        <v>1741</v>
      </c>
      <c r="C547" s="68">
        <v>45447</v>
      </c>
      <c r="D547" s="47" t="s">
        <v>1742</v>
      </c>
      <c r="E547" s="45"/>
      <c r="F547" s="47" t="s">
        <v>1743</v>
      </c>
      <c r="G547" s="47" t="s">
        <v>1744</v>
      </c>
      <c r="H547" s="45">
        <v>100</v>
      </c>
      <c r="I547" s="55">
        <v>14</v>
      </c>
      <c r="J547" s="69">
        <v>1400</v>
      </c>
      <c r="K547" s="11" t="s">
        <v>17</v>
      </c>
      <c r="L547" s="56"/>
      <c r="M547" s="45" t="s">
        <v>31</v>
      </c>
    </row>
    <row r="548" spans="2:15" s="15" customFormat="1" ht="15" customHeight="1" x14ac:dyDescent="0.25">
      <c r="B548" s="11" t="s">
        <v>1745</v>
      </c>
      <c r="C548" s="16">
        <v>45447</v>
      </c>
      <c r="D548" s="23" t="s">
        <v>574</v>
      </c>
      <c r="E548" s="11"/>
      <c r="F548" s="23" t="s">
        <v>1746</v>
      </c>
      <c r="G548" s="23" t="s">
        <v>1747</v>
      </c>
      <c r="H548" s="11">
        <v>300</v>
      </c>
      <c r="I548" s="24">
        <v>4.4832999999999998</v>
      </c>
      <c r="J548" s="13">
        <v>1345</v>
      </c>
      <c r="K548" s="11" t="s">
        <v>17</v>
      </c>
      <c r="L548" s="19"/>
      <c r="M548" s="11" t="s">
        <v>31</v>
      </c>
    </row>
    <row r="549" spans="2:15" s="15" customFormat="1" ht="15" customHeight="1" x14ac:dyDescent="0.25">
      <c r="B549" s="11" t="s">
        <v>1748</v>
      </c>
      <c r="C549" s="16">
        <v>45447</v>
      </c>
      <c r="D549" s="23" t="s">
        <v>1175</v>
      </c>
      <c r="E549" s="11"/>
      <c r="F549" s="23" t="s">
        <v>1749</v>
      </c>
      <c r="G549" s="23" t="s">
        <v>1750</v>
      </c>
      <c r="H549" s="11">
        <v>84</v>
      </c>
      <c r="I549" s="24">
        <v>7.08</v>
      </c>
      <c r="J549" s="13">
        <v>595</v>
      </c>
      <c r="K549" s="11" t="s">
        <v>25</v>
      </c>
      <c r="L549" s="19"/>
      <c r="M549" s="11" t="s">
        <v>18</v>
      </c>
    </row>
    <row r="550" spans="2:15" s="15" customFormat="1" ht="15" customHeight="1" x14ac:dyDescent="0.25">
      <c r="B550" s="11" t="s">
        <v>1751</v>
      </c>
      <c r="C550" s="16">
        <v>45448</v>
      </c>
      <c r="D550" s="66" t="s">
        <v>1302</v>
      </c>
      <c r="E550" s="11"/>
      <c r="F550" s="23" t="s">
        <v>1752</v>
      </c>
      <c r="G550" s="23" t="s">
        <v>1753</v>
      </c>
      <c r="H550" s="11">
        <v>2</v>
      </c>
      <c r="I550" s="24">
        <v>247.5</v>
      </c>
      <c r="J550" s="13">
        <v>495</v>
      </c>
      <c r="K550" s="67" t="s">
        <v>1754</v>
      </c>
      <c r="L550" s="19"/>
      <c r="M550" s="11" t="s">
        <v>18</v>
      </c>
      <c r="O550" s="7"/>
    </row>
    <row r="551" spans="2:15" s="15" customFormat="1" ht="15" customHeight="1" x14ac:dyDescent="0.25">
      <c r="B551" s="11" t="s">
        <v>1755</v>
      </c>
      <c r="C551" s="16">
        <v>45448</v>
      </c>
      <c r="D551" s="23" t="s">
        <v>1725</v>
      </c>
      <c r="E551" s="11"/>
      <c r="F551" s="23" t="s">
        <v>1756</v>
      </c>
      <c r="G551" s="23" t="s">
        <v>1757</v>
      </c>
      <c r="H551" s="11">
        <v>1</v>
      </c>
      <c r="I551" s="24">
        <v>175</v>
      </c>
      <c r="J551" s="13">
        <v>175</v>
      </c>
      <c r="K551" s="11" t="s">
        <v>25</v>
      </c>
      <c r="L551" s="19"/>
      <c r="M551" s="11" t="s">
        <v>18</v>
      </c>
    </row>
    <row r="552" spans="2:15" s="15" customFormat="1" ht="15" customHeight="1" x14ac:dyDescent="0.25">
      <c r="B552" s="11" t="s">
        <v>1758</v>
      </c>
      <c r="C552" s="16">
        <v>45449</v>
      </c>
      <c r="D552" t="s">
        <v>463</v>
      </c>
      <c r="E552" s="11"/>
      <c r="F552" s="23" t="s">
        <v>1759</v>
      </c>
      <c r="G552" s="23" t="s">
        <v>1760</v>
      </c>
      <c r="H552" s="11">
        <v>3</v>
      </c>
      <c r="I552" s="24">
        <v>48</v>
      </c>
      <c r="J552" s="13">
        <v>1296</v>
      </c>
      <c r="K552" s="11" t="s">
        <v>17</v>
      </c>
      <c r="L552" s="19"/>
      <c r="M552" s="11" t="s">
        <v>31</v>
      </c>
    </row>
    <row r="553" spans="2:15" s="15" customFormat="1" ht="15" customHeight="1" x14ac:dyDescent="0.25">
      <c r="B553" s="11" t="s">
        <v>1761</v>
      </c>
      <c r="C553" s="16">
        <v>45448</v>
      </c>
      <c r="D553" s="23" t="s">
        <v>1060</v>
      </c>
      <c r="E553" s="11"/>
      <c r="F553" s="23" t="s">
        <v>1762</v>
      </c>
      <c r="G553" s="23" t="s">
        <v>1763</v>
      </c>
      <c r="H553" s="11">
        <v>10</v>
      </c>
      <c r="I553" s="24"/>
      <c r="J553" s="65">
        <v>13137</v>
      </c>
      <c r="K553" s="11" t="s">
        <v>17</v>
      </c>
      <c r="L553" s="19"/>
      <c r="M553" s="11" t="s">
        <v>18</v>
      </c>
    </row>
    <row r="554" spans="2:15" s="15" customFormat="1" ht="15" customHeight="1" x14ac:dyDescent="0.25">
      <c r="B554" s="11" t="s">
        <v>1764</v>
      </c>
      <c r="C554" s="16">
        <v>45448</v>
      </c>
      <c r="D554" s="23" t="s">
        <v>1002</v>
      </c>
      <c r="E554" s="11"/>
      <c r="F554" s="23" t="s">
        <v>1765</v>
      </c>
      <c r="G554" s="23" t="s">
        <v>1766</v>
      </c>
      <c r="H554" s="11">
        <v>400</v>
      </c>
      <c r="I554" s="24">
        <v>49.15</v>
      </c>
      <c r="J554" s="65">
        <v>19660</v>
      </c>
      <c r="K554" s="11" t="s">
        <v>25</v>
      </c>
      <c r="L554" s="19"/>
      <c r="M554" s="11" t="s">
        <v>18</v>
      </c>
    </row>
    <row r="555" spans="2:15" s="15" customFormat="1" ht="15" customHeight="1" x14ac:dyDescent="0.25">
      <c r="B555" s="11" t="s">
        <v>1767</v>
      </c>
      <c r="C555" s="16">
        <v>45448</v>
      </c>
      <c r="D555" s="23" t="s">
        <v>1060</v>
      </c>
      <c r="E555" s="11"/>
      <c r="F555" s="23" t="s">
        <v>1768</v>
      </c>
      <c r="G555" s="23" t="s">
        <v>1769</v>
      </c>
      <c r="H555" s="11">
        <v>2</v>
      </c>
      <c r="I555" s="24">
        <v>750</v>
      </c>
      <c r="J555" s="13">
        <v>1500</v>
      </c>
      <c r="K555" s="11" t="s">
        <v>17</v>
      </c>
      <c r="L555" s="19"/>
      <c r="M555" s="11" t="s">
        <v>18</v>
      </c>
      <c r="O555" s="7"/>
    </row>
    <row r="556" spans="2:15" s="15" customFormat="1" ht="15" customHeight="1" x14ac:dyDescent="0.25">
      <c r="B556" s="11" t="s">
        <v>1770</v>
      </c>
      <c r="C556" s="16">
        <v>45449</v>
      </c>
      <c r="D556" s="23" t="s">
        <v>1527</v>
      </c>
      <c r="E556" s="11"/>
      <c r="F556" s="23" t="s">
        <v>1771</v>
      </c>
      <c r="G556" s="23" t="s">
        <v>1772</v>
      </c>
      <c r="H556" s="11">
        <v>2000</v>
      </c>
      <c r="I556" s="24">
        <v>7425</v>
      </c>
      <c r="J556" s="13">
        <v>42800</v>
      </c>
      <c r="K556" s="11" t="s">
        <v>25</v>
      </c>
      <c r="L556" s="19"/>
      <c r="M556" s="11" t="s">
        <v>18</v>
      </c>
    </row>
    <row r="557" spans="2:15" ht="15" customHeight="1" x14ac:dyDescent="0.25">
      <c r="B557" s="11" t="s">
        <v>1773</v>
      </c>
      <c r="C557" s="16">
        <v>45450</v>
      </c>
      <c r="D557" s="23" t="s">
        <v>211</v>
      </c>
      <c r="E557" s="11"/>
      <c r="F557" s="23" t="s">
        <v>1774</v>
      </c>
      <c r="G557" s="23" t="s">
        <v>1775</v>
      </c>
      <c r="H557" s="11">
        <v>1011</v>
      </c>
      <c r="I557" s="24">
        <v>0.44</v>
      </c>
      <c r="J557" s="13">
        <v>1303</v>
      </c>
      <c r="K557" s="11" t="s">
        <v>25</v>
      </c>
      <c r="L557" s="19"/>
      <c r="M557" s="11" t="s">
        <v>18</v>
      </c>
    </row>
    <row r="558" spans="2:15" s="15" customFormat="1" ht="15" customHeight="1" x14ac:dyDescent="0.25">
      <c r="B558" s="11" t="s">
        <v>1776</v>
      </c>
      <c r="C558" s="16">
        <v>45449</v>
      </c>
      <c r="D558" s="23" t="s">
        <v>1777</v>
      </c>
      <c r="E558" s="11"/>
      <c r="F558" t="s">
        <v>1778</v>
      </c>
      <c r="G558" s="23" t="s">
        <v>1779</v>
      </c>
      <c r="H558" s="11">
        <v>124</v>
      </c>
      <c r="I558" s="24">
        <v>33.75</v>
      </c>
      <c r="J558" s="65">
        <v>4647.5</v>
      </c>
      <c r="K558" s="11" t="s">
        <v>25</v>
      </c>
      <c r="L558" s="19"/>
      <c r="M558" s="11" t="s">
        <v>18</v>
      </c>
    </row>
    <row r="559" spans="2:15" s="15" customFormat="1" ht="15" customHeight="1" x14ac:dyDescent="0.25">
      <c r="B559" s="11" t="s">
        <v>1780</v>
      </c>
      <c r="C559" s="16">
        <v>45450</v>
      </c>
      <c r="D559" s="23" t="s">
        <v>381</v>
      </c>
      <c r="E559" s="11"/>
      <c r="F559" s="23" t="s">
        <v>1781</v>
      </c>
      <c r="G559" s="23" t="s">
        <v>1782</v>
      </c>
      <c r="H559" s="11">
        <v>5</v>
      </c>
      <c r="I559" s="24">
        <v>71.75</v>
      </c>
      <c r="J559" s="65">
        <v>358.75</v>
      </c>
      <c r="K559" s="11" t="s">
        <v>25</v>
      </c>
      <c r="L559" s="19"/>
      <c r="M559" s="11" t="s">
        <v>31</v>
      </c>
    </row>
    <row r="560" spans="2:15" s="15" customFormat="1" ht="15" customHeight="1" x14ac:dyDescent="0.25">
      <c r="B560" s="11" t="s">
        <v>1783</v>
      </c>
      <c r="C560" s="16">
        <v>45450</v>
      </c>
      <c r="D560" s="23" t="s">
        <v>1184</v>
      </c>
      <c r="E560" s="11"/>
      <c r="F560" s="23" t="s">
        <v>1784</v>
      </c>
      <c r="G560" s="23" t="s">
        <v>1785</v>
      </c>
      <c r="H560" s="11">
        <v>100</v>
      </c>
      <c r="I560" s="24">
        <v>40</v>
      </c>
      <c r="J560" s="13">
        <v>4000</v>
      </c>
      <c r="K560" s="11" t="s">
        <v>25</v>
      </c>
      <c r="L560" s="19" t="s">
        <v>1786</v>
      </c>
      <c r="M560" s="11" t="s">
        <v>31</v>
      </c>
    </row>
    <row r="561" spans="2:13" s="15" customFormat="1" ht="14.25" customHeight="1" x14ac:dyDescent="0.25">
      <c r="B561" s="11" t="s">
        <v>1787</v>
      </c>
      <c r="C561" s="16">
        <v>45450</v>
      </c>
      <c r="D561" t="s">
        <v>346</v>
      </c>
      <c r="E561" s="11"/>
      <c r="F561" s="23" t="s">
        <v>770</v>
      </c>
      <c r="G561" s="23" t="s">
        <v>1788</v>
      </c>
      <c r="H561" s="11">
        <v>800</v>
      </c>
      <c r="I561" s="24">
        <v>0.83099999999999996</v>
      </c>
      <c r="J561" s="65">
        <v>665</v>
      </c>
      <c r="K561" s="11" t="s">
        <v>17</v>
      </c>
      <c r="L561" s="19" t="s">
        <v>1789</v>
      </c>
      <c r="M561" s="11" t="s">
        <v>31</v>
      </c>
    </row>
    <row r="562" spans="2:13" s="15" customFormat="1" ht="15" customHeight="1" x14ac:dyDescent="0.25">
      <c r="B562" s="11" t="s">
        <v>1790</v>
      </c>
      <c r="C562" s="16">
        <v>45450</v>
      </c>
      <c r="D562" s="23" t="s">
        <v>1791</v>
      </c>
      <c r="E562" s="11"/>
      <c r="F562" s="23" t="s">
        <v>1792</v>
      </c>
      <c r="G562" s="23" t="s">
        <v>1793</v>
      </c>
      <c r="H562" s="11">
        <v>7</v>
      </c>
      <c r="I562" s="24">
        <v>124.75</v>
      </c>
      <c r="J562" s="13">
        <v>873.25</v>
      </c>
      <c r="K562" s="11" t="s">
        <v>1794</v>
      </c>
      <c r="L562" s="19"/>
      <c r="M562" s="11" t="s">
        <v>18</v>
      </c>
    </row>
    <row r="563" spans="2:13" s="15" customFormat="1" ht="15" customHeight="1" x14ac:dyDescent="0.25">
      <c r="B563" s="11" t="s">
        <v>1795</v>
      </c>
      <c r="C563" s="16">
        <v>45484</v>
      </c>
      <c r="D563" s="23" t="s">
        <v>463</v>
      </c>
      <c r="E563" s="11"/>
      <c r="F563" s="23" t="s">
        <v>1796</v>
      </c>
      <c r="G563" s="23" t="s">
        <v>1797</v>
      </c>
      <c r="H563" s="11">
        <v>229</v>
      </c>
      <c r="I563" s="24"/>
      <c r="J563" s="13">
        <v>5527.75</v>
      </c>
      <c r="K563" s="11" t="s">
        <v>17</v>
      </c>
      <c r="L563" s="19" t="s">
        <v>1500</v>
      </c>
      <c r="M563" s="11" t="s">
        <v>31</v>
      </c>
    </row>
    <row r="564" spans="2:13" s="15" customFormat="1" ht="15" customHeight="1" x14ac:dyDescent="0.25">
      <c r="B564" s="11" t="s">
        <v>1798</v>
      </c>
      <c r="C564" s="16">
        <v>45451</v>
      </c>
      <c r="D564" s="23" t="s">
        <v>1060</v>
      </c>
      <c r="E564" s="11"/>
      <c r="F564" s="23" t="s">
        <v>1799</v>
      </c>
      <c r="G564" s="23"/>
      <c r="H564" s="11">
        <v>47</v>
      </c>
      <c r="I564" s="24"/>
      <c r="J564" s="13">
        <v>2558.25</v>
      </c>
      <c r="K564" s="11" t="s">
        <v>17</v>
      </c>
      <c r="L564" s="19"/>
      <c r="M564" s="11" t="s">
        <v>18</v>
      </c>
    </row>
    <row r="565" spans="2:13" ht="15" customHeight="1" x14ac:dyDescent="0.25">
      <c r="B565" s="11" t="s">
        <v>1800</v>
      </c>
      <c r="C565" s="16">
        <v>45453</v>
      </c>
      <c r="D565" s="23" t="s">
        <v>370</v>
      </c>
      <c r="E565" s="11"/>
      <c r="F565" s="23" t="s">
        <v>1801</v>
      </c>
      <c r="G565" s="23" t="s">
        <v>756</v>
      </c>
      <c r="H565" s="11">
        <v>50</v>
      </c>
      <c r="I565" s="24">
        <v>9.9</v>
      </c>
      <c r="J565" s="13">
        <v>495</v>
      </c>
      <c r="K565" s="11" t="s">
        <v>25</v>
      </c>
      <c r="L565" s="19"/>
      <c r="M565" s="11" t="s">
        <v>18</v>
      </c>
    </row>
    <row r="566" spans="2:13" s="15" customFormat="1" ht="15" customHeight="1" x14ac:dyDescent="0.25">
      <c r="B566" s="11" t="s">
        <v>1802</v>
      </c>
      <c r="C566" s="16">
        <v>45453</v>
      </c>
      <c r="D566" s="23" t="s">
        <v>1175</v>
      </c>
      <c r="E566" s="11"/>
      <c r="F566" s="23" t="s">
        <v>1803</v>
      </c>
      <c r="G566" s="23" t="s">
        <v>981</v>
      </c>
      <c r="H566" s="11">
        <v>500</v>
      </c>
      <c r="I566" s="24">
        <v>4.25</v>
      </c>
      <c r="J566" s="13">
        <v>2125</v>
      </c>
      <c r="K566" s="11" t="s">
        <v>25</v>
      </c>
      <c r="L566" s="19" t="s">
        <v>1289</v>
      </c>
      <c r="M566" s="11" t="s">
        <v>31</v>
      </c>
    </row>
    <row r="567" spans="2:13" ht="15" customHeight="1" x14ac:dyDescent="0.25">
      <c r="B567" s="11" t="s">
        <v>1804</v>
      </c>
      <c r="C567" s="16">
        <v>45453</v>
      </c>
      <c r="D567" t="s">
        <v>370</v>
      </c>
      <c r="E567" s="11"/>
      <c r="F567" s="23" t="s">
        <v>66</v>
      </c>
      <c r="G567" s="23" t="s">
        <v>1805</v>
      </c>
      <c r="H567" s="11">
        <v>20</v>
      </c>
      <c r="I567" s="24">
        <v>48</v>
      </c>
      <c r="J567" s="13">
        <v>960</v>
      </c>
      <c r="K567" s="11" t="s">
        <v>25</v>
      </c>
      <c r="L567" s="19"/>
      <c r="M567" s="11" t="s">
        <v>18</v>
      </c>
    </row>
    <row r="568" spans="2:13" ht="15" customHeight="1" x14ac:dyDescent="0.25">
      <c r="B568" s="11" t="s">
        <v>1806</v>
      </c>
      <c r="C568" s="16">
        <v>45453</v>
      </c>
      <c r="D568" s="23" t="s">
        <v>463</v>
      </c>
      <c r="E568" s="11"/>
      <c r="F568" s="23" t="s">
        <v>1807</v>
      </c>
      <c r="G568" s="23" t="s">
        <v>1808</v>
      </c>
      <c r="H568" s="11">
        <v>40</v>
      </c>
      <c r="I568" s="24">
        <v>44.75</v>
      </c>
      <c r="J568" s="65">
        <v>1790</v>
      </c>
      <c r="K568" s="11" t="s">
        <v>17</v>
      </c>
      <c r="L568" s="19"/>
      <c r="M568" s="11" t="s">
        <v>31</v>
      </c>
    </row>
    <row r="569" spans="2:13" s="15" customFormat="1" ht="15" customHeight="1" x14ac:dyDescent="0.25">
      <c r="B569" s="11" t="s">
        <v>1809</v>
      </c>
      <c r="C569" s="16">
        <v>45454</v>
      </c>
      <c r="D569" s="23" t="s">
        <v>1175</v>
      </c>
      <c r="E569" s="11"/>
      <c r="F569" s="23" t="s">
        <v>1810</v>
      </c>
      <c r="G569" s="23" t="s">
        <v>1811</v>
      </c>
      <c r="H569" s="11">
        <v>190</v>
      </c>
      <c r="I569" s="24">
        <v>9.85</v>
      </c>
      <c r="J569" s="65">
        <v>1871.5</v>
      </c>
      <c r="K569" s="11" t="s">
        <v>25</v>
      </c>
      <c r="L569" s="19"/>
      <c r="M569" s="11" t="s">
        <v>18</v>
      </c>
    </row>
    <row r="570" spans="2:13" ht="15" customHeight="1" x14ac:dyDescent="0.25">
      <c r="B570" s="11" t="s">
        <v>1812</v>
      </c>
      <c r="C570" s="16">
        <v>45496</v>
      </c>
      <c r="D570" s="70" t="s">
        <v>1722</v>
      </c>
      <c r="E570" s="11"/>
      <c r="F570" s="23" t="s">
        <v>1813</v>
      </c>
      <c r="G570" s="23" t="s">
        <v>1814</v>
      </c>
      <c r="H570" s="11">
        <v>1001</v>
      </c>
      <c r="I570" s="24" t="s">
        <v>1815</v>
      </c>
      <c r="J570" s="13">
        <v>4535</v>
      </c>
      <c r="K570" s="67" t="s">
        <v>1649</v>
      </c>
      <c r="L570" s="19"/>
      <c r="M570" s="11" t="s">
        <v>18</v>
      </c>
    </row>
    <row r="571" spans="2:13" ht="15" customHeight="1" x14ac:dyDescent="0.25">
      <c r="B571" s="11" t="s">
        <v>1816</v>
      </c>
      <c r="C571" s="16">
        <v>45454</v>
      </c>
      <c r="D571" s="23" t="s">
        <v>1175</v>
      </c>
      <c r="E571" s="67"/>
      <c r="F571" s="23" t="s">
        <v>1817</v>
      </c>
      <c r="G571" s="23" t="s">
        <v>1818</v>
      </c>
      <c r="H571" s="67">
        <v>190</v>
      </c>
      <c r="I571" s="71">
        <v>6.65</v>
      </c>
      <c r="J571" s="72">
        <v>1263.5</v>
      </c>
      <c r="K571" s="67" t="s">
        <v>25</v>
      </c>
      <c r="L571" s="73" t="s">
        <v>1819</v>
      </c>
      <c r="M571" s="67" t="s">
        <v>31</v>
      </c>
    </row>
    <row r="572" spans="2:13" ht="15" customHeight="1" x14ac:dyDescent="0.25">
      <c r="B572" s="11" t="s">
        <v>1820</v>
      </c>
      <c r="C572" s="16">
        <v>45454</v>
      </c>
      <c r="D572" s="23" t="s">
        <v>146</v>
      </c>
      <c r="E572" s="67"/>
      <c r="F572" t="s">
        <v>1821</v>
      </c>
      <c r="G572" s="23" t="s">
        <v>1822</v>
      </c>
      <c r="H572" s="67">
        <v>1</v>
      </c>
      <c r="I572" s="71">
        <v>3150</v>
      </c>
      <c r="J572" s="72">
        <v>3150</v>
      </c>
      <c r="K572" s="67" t="s">
        <v>25</v>
      </c>
      <c r="L572" s="73"/>
      <c r="M572" s="67" t="s">
        <v>18</v>
      </c>
    </row>
    <row r="573" spans="2:13" ht="15" customHeight="1" x14ac:dyDescent="0.25">
      <c r="B573" s="11" t="s">
        <v>1823</v>
      </c>
      <c r="C573" s="16">
        <v>45468</v>
      </c>
      <c r="D573" s="23" t="s">
        <v>463</v>
      </c>
      <c r="E573" s="67"/>
      <c r="F573" s="23" t="s">
        <v>1824</v>
      </c>
      <c r="G573" s="23" t="s">
        <v>1825</v>
      </c>
      <c r="H573" s="67">
        <v>150</v>
      </c>
      <c r="I573" s="71"/>
      <c r="J573" s="72">
        <v>8602</v>
      </c>
      <c r="K573" s="67" t="s">
        <v>17</v>
      </c>
      <c r="L573" s="73"/>
      <c r="M573" s="67" t="s">
        <v>18</v>
      </c>
    </row>
    <row r="574" spans="2:13" ht="15" customHeight="1" x14ac:dyDescent="0.25">
      <c r="B574" s="11" t="s">
        <v>1826</v>
      </c>
      <c r="C574" s="16">
        <v>45454</v>
      </c>
      <c r="D574" s="23" t="s">
        <v>463</v>
      </c>
      <c r="E574" s="67"/>
      <c r="F574" s="23" t="s">
        <v>1827</v>
      </c>
      <c r="G574" s="23" t="s">
        <v>1828</v>
      </c>
      <c r="H574" s="67">
        <v>50</v>
      </c>
      <c r="I574" s="71">
        <v>2.7</v>
      </c>
      <c r="J574" s="72">
        <v>135</v>
      </c>
      <c r="K574" s="67" t="s">
        <v>17</v>
      </c>
      <c r="L574" s="73"/>
      <c r="M574" s="67" t="s">
        <v>18</v>
      </c>
    </row>
    <row r="575" spans="2:13" ht="15" customHeight="1" x14ac:dyDescent="0.25">
      <c r="B575" s="11" t="s">
        <v>1829</v>
      </c>
      <c r="C575" s="16">
        <v>45457</v>
      </c>
      <c r="D575" s="23" t="s">
        <v>27</v>
      </c>
      <c r="E575" s="67"/>
      <c r="F575" s="23" t="s">
        <v>1830</v>
      </c>
      <c r="G575" s="23"/>
      <c r="H575" s="7">
        <v>600</v>
      </c>
      <c r="I575" s="71">
        <v>55</v>
      </c>
      <c r="J575" s="72">
        <v>24010</v>
      </c>
      <c r="K575" s="67" t="s">
        <v>17</v>
      </c>
      <c r="L575" s="73" t="s">
        <v>1219</v>
      </c>
      <c r="M575" s="67" t="s">
        <v>31</v>
      </c>
    </row>
    <row r="576" spans="2:13" ht="15" customHeight="1" x14ac:dyDescent="0.25">
      <c r="B576" s="11" t="s">
        <v>1831</v>
      </c>
      <c r="C576" s="16">
        <v>45455</v>
      </c>
      <c r="D576" s="23" t="s">
        <v>1060</v>
      </c>
      <c r="E576" s="67"/>
      <c r="F576" s="23" t="s">
        <v>1832</v>
      </c>
      <c r="G576" s="23" t="s">
        <v>1613</v>
      </c>
      <c r="H576" s="67">
        <v>100</v>
      </c>
      <c r="I576" s="71">
        <v>33.65</v>
      </c>
      <c r="J576" s="72">
        <v>3365</v>
      </c>
      <c r="K576" s="67" t="s">
        <v>17</v>
      </c>
      <c r="L576" s="73"/>
      <c r="M576" s="67" t="s">
        <v>18</v>
      </c>
    </row>
    <row r="577" spans="2:13" ht="15" customHeight="1" x14ac:dyDescent="0.25">
      <c r="B577" s="11" t="s">
        <v>1833</v>
      </c>
      <c r="C577" s="16">
        <v>45455</v>
      </c>
      <c r="D577" s="23" t="s">
        <v>27</v>
      </c>
      <c r="E577" s="67"/>
      <c r="F577" s="23" t="s">
        <v>1834</v>
      </c>
      <c r="G577" s="23" t="s">
        <v>1835</v>
      </c>
      <c r="H577" s="11">
        <v>100</v>
      </c>
      <c r="I577" s="24">
        <v>31.35</v>
      </c>
      <c r="J577" s="72">
        <v>3135</v>
      </c>
      <c r="K577" s="67" t="s">
        <v>17</v>
      </c>
      <c r="L577" s="73"/>
      <c r="M577" s="67" t="s">
        <v>18</v>
      </c>
    </row>
    <row r="578" spans="2:13" ht="15" customHeight="1" x14ac:dyDescent="0.25">
      <c r="B578" s="11" t="s">
        <v>1836</v>
      </c>
      <c r="C578" s="16">
        <v>45456</v>
      </c>
      <c r="D578" t="s">
        <v>574</v>
      </c>
      <c r="E578" s="67"/>
      <c r="F578" s="23" t="s">
        <v>1837</v>
      </c>
      <c r="G578" s="23" t="s">
        <v>1838</v>
      </c>
      <c r="H578" s="11">
        <v>30</v>
      </c>
      <c r="I578" s="24"/>
      <c r="J578" s="72">
        <v>1320</v>
      </c>
      <c r="K578" s="67" t="s">
        <v>17</v>
      </c>
      <c r="L578" s="73"/>
      <c r="M578" s="67" t="s">
        <v>18</v>
      </c>
    </row>
    <row r="579" spans="2:13" s="15" customFormat="1" ht="15" customHeight="1" x14ac:dyDescent="0.25">
      <c r="B579" s="11" t="s">
        <v>1839</v>
      </c>
      <c r="C579" s="16">
        <v>45455</v>
      </c>
      <c r="D579" s="23" t="s">
        <v>1043</v>
      </c>
      <c r="E579" s="11"/>
      <c r="F579" s="23" t="s">
        <v>511</v>
      </c>
      <c r="G579" s="23" t="s">
        <v>1840</v>
      </c>
      <c r="H579" s="11" t="s">
        <v>1841</v>
      </c>
      <c r="I579" s="24">
        <v>375</v>
      </c>
      <c r="J579" s="13">
        <v>375</v>
      </c>
      <c r="K579" s="11" t="s">
        <v>25</v>
      </c>
      <c r="L579" s="19" t="s">
        <v>1294</v>
      </c>
      <c r="M579" s="11" t="s">
        <v>31</v>
      </c>
    </row>
    <row r="580" spans="2:13" s="15" customFormat="1" ht="15" customHeight="1" x14ac:dyDescent="0.25">
      <c r="B580" s="11" t="s">
        <v>1842</v>
      </c>
      <c r="C580" s="16">
        <v>45455</v>
      </c>
      <c r="D580" s="23" t="s">
        <v>1674</v>
      </c>
      <c r="E580" s="11"/>
      <c r="F580" s="23" t="s">
        <v>511</v>
      </c>
      <c r="G580" s="23" t="s">
        <v>735</v>
      </c>
      <c r="H580" s="11" t="s">
        <v>1843</v>
      </c>
      <c r="I580" s="24">
        <v>64</v>
      </c>
      <c r="J580" s="13">
        <v>832</v>
      </c>
      <c r="K580" s="11" t="s">
        <v>25</v>
      </c>
      <c r="L580" s="19"/>
      <c r="M580" s="11" t="s">
        <v>31</v>
      </c>
    </row>
    <row r="581" spans="2:13" ht="15" customHeight="1" x14ac:dyDescent="0.25">
      <c r="B581" s="11" t="s">
        <v>1844</v>
      </c>
      <c r="C581" s="16">
        <v>45455</v>
      </c>
      <c r="D581" t="s">
        <v>574</v>
      </c>
      <c r="E581" s="67"/>
      <c r="F581" s="23" t="s">
        <v>1845</v>
      </c>
      <c r="G581" s="23" t="s">
        <v>756</v>
      </c>
      <c r="H581" s="11">
        <v>250</v>
      </c>
      <c r="I581" s="24">
        <v>7.3</v>
      </c>
      <c r="J581" s="65">
        <v>1825</v>
      </c>
      <c r="K581" s="67" t="s">
        <v>17</v>
      </c>
      <c r="L581" s="73"/>
      <c r="M581" s="67" t="s">
        <v>18</v>
      </c>
    </row>
    <row r="582" spans="2:13" ht="15" customHeight="1" x14ac:dyDescent="0.25">
      <c r="B582" s="11" t="s">
        <v>1846</v>
      </c>
      <c r="C582" s="16">
        <v>45456</v>
      </c>
      <c r="D582" s="23" t="s">
        <v>574</v>
      </c>
      <c r="E582" s="67"/>
      <c r="F582" s="23" t="s">
        <v>1847</v>
      </c>
      <c r="G582" s="23" t="s">
        <v>1848</v>
      </c>
      <c r="H582" s="11">
        <v>970</v>
      </c>
      <c r="I582" s="24">
        <v>16.95</v>
      </c>
      <c r="J582" s="65">
        <v>16102.5</v>
      </c>
      <c r="K582" s="67" t="s">
        <v>17</v>
      </c>
      <c r="L582" s="73"/>
      <c r="M582" s="67" t="s">
        <v>31</v>
      </c>
    </row>
    <row r="583" spans="2:13" ht="15" customHeight="1" x14ac:dyDescent="0.25">
      <c r="B583" s="11" t="s">
        <v>1849</v>
      </c>
      <c r="C583" s="16">
        <v>45456</v>
      </c>
      <c r="D583" s="23" t="s">
        <v>1850</v>
      </c>
      <c r="E583" s="11"/>
      <c r="F583" s="23" t="s">
        <v>1851</v>
      </c>
      <c r="G583" s="23" t="s">
        <v>1852</v>
      </c>
      <c r="H583" s="11" t="s">
        <v>1853</v>
      </c>
      <c r="I583" s="24">
        <v>5.75</v>
      </c>
      <c r="J583" s="65">
        <v>575</v>
      </c>
      <c r="K583" s="11" t="s">
        <v>25</v>
      </c>
      <c r="L583" s="19"/>
      <c r="M583" s="11" t="s">
        <v>18</v>
      </c>
    </row>
    <row r="584" spans="2:13" ht="15" customHeight="1" x14ac:dyDescent="0.25">
      <c r="B584" s="11" t="s">
        <v>1854</v>
      </c>
      <c r="C584" s="16">
        <v>45456</v>
      </c>
      <c r="D584" t="s">
        <v>525</v>
      </c>
      <c r="E584" s="11"/>
      <c r="F584" s="23" t="s">
        <v>1855</v>
      </c>
      <c r="G584" s="23" t="s">
        <v>1856</v>
      </c>
      <c r="H584" s="11">
        <v>10</v>
      </c>
      <c r="I584" s="24">
        <v>18.75</v>
      </c>
      <c r="J584" s="13">
        <v>210</v>
      </c>
      <c r="K584" s="11" t="s">
        <v>17</v>
      </c>
      <c r="L584" s="19" t="s">
        <v>1255</v>
      </c>
      <c r="M584" s="11" t="s">
        <v>31</v>
      </c>
    </row>
    <row r="585" spans="2:13" ht="15" customHeight="1" x14ac:dyDescent="0.25">
      <c r="B585" s="11" t="s">
        <v>1857</v>
      </c>
      <c r="C585" s="16">
        <v>45456</v>
      </c>
      <c r="D585" s="23" t="s">
        <v>574</v>
      </c>
      <c r="E585" s="67"/>
      <c r="F585" s="23" t="s">
        <v>1858</v>
      </c>
      <c r="G585" s="23" t="s">
        <v>756</v>
      </c>
      <c r="H585" s="67">
        <v>1000</v>
      </c>
      <c r="I585" s="71">
        <v>0.57499999999999996</v>
      </c>
      <c r="J585" s="72">
        <v>575</v>
      </c>
      <c r="K585" s="67" t="s">
        <v>17</v>
      </c>
      <c r="L585" s="73" t="s">
        <v>1252</v>
      </c>
      <c r="M585" s="67" t="s">
        <v>31</v>
      </c>
    </row>
    <row r="586" spans="2:13" ht="15" customHeight="1" x14ac:dyDescent="0.25">
      <c r="B586" s="11" t="s">
        <v>1859</v>
      </c>
      <c r="C586" s="16">
        <v>45456</v>
      </c>
      <c r="D586" s="23" t="s">
        <v>1002</v>
      </c>
      <c r="E586" s="67"/>
      <c r="F586" t="s">
        <v>1860</v>
      </c>
      <c r="G586" s="23" t="s">
        <v>1861</v>
      </c>
      <c r="H586" s="67">
        <v>150</v>
      </c>
      <c r="I586" s="71">
        <v>18.399999999999999</v>
      </c>
      <c r="J586" s="72">
        <v>2760</v>
      </c>
      <c r="K586" s="67" t="s">
        <v>25</v>
      </c>
      <c r="L586" s="73"/>
      <c r="M586" s="67" t="s">
        <v>18</v>
      </c>
    </row>
    <row r="587" spans="2:13" s="15" customFormat="1" ht="15" customHeight="1" x14ac:dyDescent="0.25">
      <c r="B587" s="11" t="s">
        <v>1862</v>
      </c>
      <c r="C587" s="16">
        <v>45456</v>
      </c>
      <c r="D587" s="23" t="s">
        <v>1863</v>
      </c>
      <c r="E587" s="67"/>
      <c r="F587" s="23" t="s">
        <v>1864</v>
      </c>
      <c r="G587" s="23" t="s">
        <v>1865</v>
      </c>
      <c r="H587" s="67">
        <v>25</v>
      </c>
      <c r="I587" s="71">
        <v>23.75</v>
      </c>
      <c r="J587" s="72">
        <v>593.75</v>
      </c>
      <c r="K587" s="67" t="s">
        <v>25</v>
      </c>
      <c r="L587" s="73"/>
      <c r="M587" s="67" t="s">
        <v>18</v>
      </c>
    </row>
    <row r="588" spans="2:13" s="15" customFormat="1" ht="15" customHeight="1" x14ac:dyDescent="0.25">
      <c r="B588" s="11" t="s">
        <v>1866</v>
      </c>
      <c r="C588" s="16">
        <v>45462</v>
      </c>
      <c r="D588" s="23" t="s">
        <v>654</v>
      </c>
      <c r="E588" s="67"/>
      <c r="F588" s="23" t="s">
        <v>1867</v>
      </c>
      <c r="G588" s="23"/>
      <c r="H588" s="67">
        <v>5</v>
      </c>
      <c r="I588" s="71"/>
      <c r="J588" s="72">
        <v>739.75</v>
      </c>
      <c r="K588" s="67" t="s">
        <v>25</v>
      </c>
      <c r="L588" s="73" t="s">
        <v>1215</v>
      </c>
      <c r="M588" s="67" t="s">
        <v>31</v>
      </c>
    </row>
    <row r="589" spans="2:13" s="15" customFormat="1" ht="15" customHeight="1" x14ac:dyDescent="0.25">
      <c r="B589" s="11" t="s">
        <v>1868</v>
      </c>
      <c r="C589" s="16">
        <v>45491</v>
      </c>
      <c r="D589" s="23" t="s">
        <v>574</v>
      </c>
      <c r="E589" s="67"/>
      <c r="F589" s="23" t="s">
        <v>1869</v>
      </c>
      <c r="G589" t="s">
        <v>1870</v>
      </c>
      <c r="H589" s="7">
        <v>750</v>
      </c>
      <c r="I589" s="71">
        <v>1.02</v>
      </c>
      <c r="J589" s="72">
        <v>765</v>
      </c>
      <c r="K589" s="67" t="s">
        <v>17</v>
      </c>
      <c r="L589" s="73"/>
      <c r="M589" s="67" t="s">
        <v>18</v>
      </c>
    </row>
    <row r="590" spans="2:13" s="15" customFormat="1" ht="15" customHeight="1" x14ac:dyDescent="0.25">
      <c r="B590" s="11" t="s">
        <v>1871</v>
      </c>
      <c r="C590" s="16">
        <v>45462</v>
      </c>
      <c r="D590" s="23" t="s">
        <v>1872</v>
      </c>
      <c r="E590" s="67"/>
      <c r="F590" s="23" t="s">
        <v>511</v>
      </c>
      <c r="G590" s="23" t="s">
        <v>1873</v>
      </c>
      <c r="H590" s="67">
        <v>500</v>
      </c>
      <c r="I590" s="71">
        <v>0.56999999999999995</v>
      </c>
      <c r="J590" s="72">
        <v>285</v>
      </c>
      <c r="K590" s="67" t="s">
        <v>1874</v>
      </c>
      <c r="L590" s="73" t="s">
        <v>1276</v>
      </c>
      <c r="M590" s="67" t="s">
        <v>31</v>
      </c>
    </row>
    <row r="591" spans="2:13" s="15" customFormat="1" ht="15" customHeight="1" x14ac:dyDescent="0.25">
      <c r="B591" s="11" t="s">
        <v>1875</v>
      </c>
      <c r="C591" s="16">
        <v>45462</v>
      </c>
      <c r="D591" s="23" t="s">
        <v>907</v>
      </c>
      <c r="E591" s="67"/>
      <c r="F591" s="23" t="s">
        <v>1876</v>
      </c>
      <c r="G591" s="23" t="s">
        <v>1877</v>
      </c>
      <c r="H591" s="11">
        <v>3</v>
      </c>
      <c r="I591" s="24">
        <v>441.67</v>
      </c>
      <c r="J591" s="72">
        <v>1325</v>
      </c>
      <c r="K591" s="67" t="s">
        <v>17</v>
      </c>
      <c r="L591" s="73" t="s">
        <v>1233</v>
      </c>
      <c r="M591" s="67" t="s">
        <v>31</v>
      </c>
    </row>
    <row r="592" spans="2:13" ht="15" customHeight="1" x14ac:dyDescent="0.25">
      <c r="B592" s="11" t="s">
        <v>1878</v>
      </c>
      <c r="C592" s="16">
        <v>45462</v>
      </c>
      <c r="D592" t="s">
        <v>1879</v>
      </c>
      <c r="E592" s="67"/>
      <c r="F592" s="23" t="s">
        <v>922</v>
      </c>
      <c r="G592" s="23" t="s">
        <v>397</v>
      </c>
      <c r="H592" s="11" t="s">
        <v>1880</v>
      </c>
      <c r="I592" s="24">
        <v>185</v>
      </c>
      <c r="J592" s="72">
        <v>555</v>
      </c>
      <c r="K592" s="67" t="s">
        <v>17</v>
      </c>
      <c r="L592" s="73"/>
      <c r="M592" s="67" t="s">
        <v>18</v>
      </c>
    </row>
    <row r="593" spans="2:15" s="15" customFormat="1" ht="15" customHeight="1" x14ac:dyDescent="0.25">
      <c r="B593" s="11" t="s">
        <v>1881</v>
      </c>
      <c r="C593" s="16">
        <v>45463</v>
      </c>
      <c r="D593" s="23" t="s">
        <v>463</v>
      </c>
      <c r="E593" s="11"/>
      <c r="F593" s="23" t="s">
        <v>66</v>
      </c>
      <c r="G593" s="23" t="s">
        <v>1882</v>
      </c>
      <c r="H593" s="11">
        <v>27</v>
      </c>
      <c r="I593" s="24">
        <v>48.25</v>
      </c>
      <c r="J593" s="13">
        <v>1302.75</v>
      </c>
      <c r="K593" s="11" t="s">
        <v>17</v>
      </c>
      <c r="L593" s="19"/>
      <c r="M593" s="11" t="s">
        <v>18</v>
      </c>
    </row>
    <row r="594" spans="2:15" ht="15" customHeight="1" x14ac:dyDescent="0.25">
      <c r="B594" s="11" t="s">
        <v>1883</v>
      </c>
      <c r="C594" s="16">
        <v>45490</v>
      </c>
      <c r="D594" s="23" t="s">
        <v>463</v>
      </c>
      <c r="E594" s="11"/>
      <c r="F594" s="23" t="s">
        <v>1884</v>
      </c>
      <c r="G594" s="23" t="s">
        <v>1885</v>
      </c>
      <c r="H594" s="11">
        <v>2100</v>
      </c>
      <c r="I594" s="24"/>
      <c r="J594" s="13">
        <v>36605</v>
      </c>
      <c r="K594" s="11" t="s">
        <v>17</v>
      </c>
      <c r="L594" s="19"/>
      <c r="M594" s="11" t="s">
        <v>18</v>
      </c>
    </row>
    <row r="595" spans="2:15" ht="15" customHeight="1" x14ac:dyDescent="0.25">
      <c r="B595" s="11" t="s">
        <v>1886</v>
      </c>
      <c r="C595" s="16">
        <v>45464</v>
      </c>
      <c r="D595" t="s">
        <v>574</v>
      </c>
      <c r="E595" s="67"/>
      <c r="F595" s="23" t="s">
        <v>1887</v>
      </c>
      <c r="G595" s="23" t="s">
        <v>1888</v>
      </c>
      <c r="H595" s="11">
        <v>500</v>
      </c>
      <c r="I595" s="24">
        <v>5.9</v>
      </c>
      <c r="J595" s="65">
        <v>2950</v>
      </c>
      <c r="K595" s="67" t="s">
        <v>17</v>
      </c>
      <c r="L595" s="73" t="s">
        <v>1889</v>
      </c>
      <c r="M595" s="67" t="s">
        <v>31</v>
      </c>
    </row>
    <row r="596" spans="2:15" ht="15" customHeight="1" x14ac:dyDescent="0.25">
      <c r="B596" s="11" t="s">
        <v>1890</v>
      </c>
      <c r="C596" s="16">
        <v>45464</v>
      </c>
      <c r="D596" s="23" t="s">
        <v>574</v>
      </c>
      <c r="E596" s="67"/>
      <c r="F596" s="23" t="s">
        <v>1891</v>
      </c>
      <c r="G596" s="23" t="s">
        <v>1892</v>
      </c>
      <c r="H596" s="11">
        <v>500</v>
      </c>
      <c r="I596" s="24"/>
      <c r="J596" s="65">
        <v>1685</v>
      </c>
      <c r="K596" s="67" t="s">
        <v>17</v>
      </c>
      <c r="L596" s="73" t="s">
        <v>1249</v>
      </c>
      <c r="M596" s="67" t="s">
        <v>31</v>
      </c>
    </row>
    <row r="597" spans="2:15" s="15" customFormat="1" ht="15" customHeight="1" x14ac:dyDescent="0.25">
      <c r="B597" s="11" t="s">
        <v>1893</v>
      </c>
      <c r="C597" s="16">
        <v>45464</v>
      </c>
      <c r="D597" s="23" t="s">
        <v>27</v>
      </c>
      <c r="E597" s="11"/>
      <c r="F597" s="23" t="s">
        <v>1894</v>
      </c>
      <c r="G597" s="23" t="s">
        <v>1895</v>
      </c>
      <c r="H597" s="11">
        <v>2</v>
      </c>
      <c r="I597" s="24"/>
      <c r="J597" s="65">
        <v>6960</v>
      </c>
      <c r="K597" s="11" t="s">
        <v>17</v>
      </c>
      <c r="L597" s="19"/>
      <c r="M597" s="11" t="s">
        <v>18</v>
      </c>
    </row>
    <row r="598" spans="2:15" ht="15" customHeight="1" x14ac:dyDescent="0.25">
      <c r="B598" s="11" t="s">
        <v>1896</v>
      </c>
      <c r="C598" s="16">
        <v>45464</v>
      </c>
      <c r="D598" t="s">
        <v>1897</v>
      </c>
      <c r="E598" s="11"/>
      <c r="F598" s="23" t="s">
        <v>1898</v>
      </c>
      <c r="G598" s="23" t="s">
        <v>1899</v>
      </c>
      <c r="H598" s="11">
        <v>1000</v>
      </c>
      <c r="I598" s="24">
        <v>5.15</v>
      </c>
      <c r="J598" s="13">
        <v>5150</v>
      </c>
      <c r="K598" s="11" t="s">
        <v>17</v>
      </c>
      <c r="L598" s="19"/>
      <c r="M598" s="11" t="s">
        <v>18</v>
      </c>
    </row>
    <row r="599" spans="2:15" s="15" customFormat="1" ht="15" customHeight="1" x14ac:dyDescent="0.25">
      <c r="B599" s="11" t="s">
        <v>1900</v>
      </c>
      <c r="C599" s="16">
        <v>45465</v>
      </c>
      <c r="D599" s="23" t="s">
        <v>241</v>
      </c>
      <c r="E599" s="67"/>
      <c r="F599" s="23" t="s">
        <v>1901</v>
      </c>
      <c r="G599" s="23" t="s">
        <v>918</v>
      </c>
      <c r="H599" s="67">
        <v>500</v>
      </c>
      <c r="I599" s="71">
        <v>1.1499999999999999</v>
      </c>
      <c r="J599" s="72">
        <v>575</v>
      </c>
      <c r="K599" s="67" t="s">
        <v>17</v>
      </c>
      <c r="L599" s="73" t="s">
        <v>1902</v>
      </c>
      <c r="M599" s="67" t="s">
        <v>31</v>
      </c>
    </row>
    <row r="600" spans="2:15" ht="15" customHeight="1" x14ac:dyDescent="0.25">
      <c r="B600" s="11" t="s">
        <v>1903</v>
      </c>
      <c r="C600" s="16">
        <v>45465</v>
      </c>
      <c r="D600" s="23" t="s">
        <v>463</v>
      </c>
      <c r="E600" s="67"/>
      <c r="F600" t="s">
        <v>1904</v>
      </c>
      <c r="G600" s="23" t="s">
        <v>1905</v>
      </c>
      <c r="H600" s="67">
        <v>1600</v>
      </c>
      <c r="I600" s="71"/>
      <c r="J600" s="72">
        <v>14200</v>
      </c>
      <c r="K600" s="67" t="s">
        <v>17</v>
      </c>
      <c r="L600" s="73"/>
      <c r="M600" s="67" t="s">
        <v>18</v>
      </c>
    </row>
    <row r="601" spans="2:15" ht="15" customHeight="1" x14ac:dyDescent="0.25">
      <c r="B601" s="11" t="s">
        <v>1906</v>
      </c>
      <c r="C601" s="16">
        <v>45467</v>
      </c>
      <c r="D601" s="23" t="s">
        <v>1907</v>
      </c>
      <c r="E601" s="67"/>
      <c r="F601" s="23" t="s">
        <v>22</v>
      </c>
      <c r="G601" s="23" t="s">
        <v>785</v>
      </c>
      <c r="H601" s="67" t="s">
        <v>1081</v>
      </c>
      <c r="I601" s="71">
        <v>235</v>
      </c>
      <c r="J601" s="72">
        <v>235</v>
      </c>
      <c r="K601" s="67" t="s">
        <v>25</v>
      </c>
      <c r="L601" s="73" t="s">
        <v>1273</v>
      </c>
      <c r="M601" s="67" t="s">
        <v>31</v>
      </c>
    </row>
    <row r="602" spans="2:15" ht="15" customHeight="1" x14ac:dyDescent="0.25">
      <c r="B602" s="11" t="s">
        <v>1908</v>
      </c>
      <c r="C602" s="16">
        <v>45489</v>
      </c>
      <c r="D602" s="23" t="s">
        <v>211</v>
      </c>
      <c r="E602" s="11"/>
      <c r="F602" s="23" t="s">
        <v>1909</v>
      </c>
      <c r="G602" t="s">
        <v>1910</v>
      </c>
      <c r="H602" s="11">
        <v>500</v>
      </c>
      <c r="I602" s="24">
        <v>10.75</v>
      </c>
      <c r="J602" s="74">
        <v>5250</v>
      </c>
      <c r="K602" s="67" t="s">
        <v>17</v>
      </c>
      <c r="L602" s="73"/>
      <c r="M602" s="67" t="s">
        <v>31</v>
      </c>
    </row>
    <row r="603" spans="2:15" s="15" customFormat="1" ht="15" customHeight="1" x14ac:dyDescent="0.25">
      <c r="B603" s="11" t="s">
        <v>1911</v>
      </c>
      <c r="C603" s="16">
        <v>45467</v>
      </c>
      <c r="D603" s="23" t="s">
        <v>574</v>
      </c>
      <c r="E603" s="11"/>
      <c r="F603" s="23" t="s">
        <v>1912</v>
      </c>
      <c r="G603" s="23" t="s">
        <v>1913</v>
      </c>
      <c r="H603" s="11">
        <v>6</v>
      </c>
      <c r="I603" s="24"/>
      <c r="J603" s="13">
        <v>450</v>
      </c>
      <c r="K603" s="11" t="s">
        <v>17</v>
      </c>
      <c r="L603" s="73" t="s">
        <v>1266</v>
      </c>
      <c r="M603" s="67" t="s">
        <v>31</v>
      </c>
    </row>
    <row r="604" spans="2:15" ht="15" customHeight="1" x14ac:dyDescent="0.25">
      <c r="B604" s="11" t="s">
        <v>1914</v>
      </c>
      <c r="C604" s="16">
        <v>45467</v>
      </c>
      <c r="D604" t="s">
        <v>574</v>
      </c>
      <c r="E604" s="67"/>
      <c r="F604" s="23" t="s">
        <v>1915</v>
      </c>
      <c r="G604" s="23" t="s">
        <v>636</v>
      </c>
      <c r="H604" s="11">
        <v>2</v>
      </c>
      <c r="I604" s="24">
        <v>195</v>
      </c>
      <c r="J604" s="65">
        <v>390</v>
      </c>
      <c r="K604" s="67" t="s">
        <v>17</v>
      </c>
      <c r="L604" s="73" t="s">
        <v>1316</v>
      </c>
      <c r="M604" s="67" t="s">
        <v>31</v>
      </c>
    </row>
    <row r="605" spans="2:15" ht="15" customHeight="1" x14ac:dyDescent="0.25">
      <c r="B605" s="11" t="s">
        <v>1916</v>
      </c>
      <c r="C605" s="16">
        <v>45467</v>
      </c>
      <c r="D605" s="23" t="s">
        <v>1400</v>
      </c>
      <c r="E605" s="67"/>
      <c r="F605" s="23" t="s">
        <v>1917</v>
      </c>
      <c r="G605" s="23" t="s">
        <v>1918</v>
      </c>
      <c r="H605" s="11">
        <v>80</v>
      </c>
      <c r="I605" s="24"/>
      <c r="J605" s="65">
        <v>1875</v>
      </c>
      <c r="K605" s="67" t="s">
        <v>17</v>
      </c>
      <c r="L605" s="73" t="s">
        <v>1268</v>
      </c>
      <c r="M605" s="67" t="s">
        <v>31</v>
      </c>
    </row>
    <row r="606" spans="2:15" ht="15" customHeight="1" x14ac:dyDescent="0.25">
      <c r="B606" s="11" t="s">
        <v>1919</v>
      </c>
      <c r="C606" s="16">
        <v>45467</v>
      </c>
      <c r="D606" s="23" t="s">
        <v>27</v>
      </c>
      <c r="E606" s="11"/>
      <c r="F606" s="23" t="s">
        <v>1920</v>
      </c>
      <c r="G606" s="23" t="s">
        <v>1921</v>
      </c>
      <c r="H606" s="11">
        <v>24</v>
      </c>
      <c r="I606" s="24">
        <v>29.25</v>
      </c>
      <c r="J606" s="65">
        <v>702</v>
      </c>
      <c r="K606" s="11" t="s">
        <v>17</v>
      </c>
      <c r="L606" s="73" t="s">
        <v>1369</v>
      </c>
      <c r="M606" s="67" t="s">
        <v>31</v>
      </c>
    </row>
    <row r="607" spans="2:15" s="15" customFormat="1" ht="15" customHeight="1" x14ac:dyDescent="0.25">
      <c r="B607" s="11" t="s">
        <v>1922</v>
      </c>
      <c r="C607" s="16">
        <v>45468</v>
      </c>
      <c r="D607" s="70" t="s">
        <v>1043</v>
      </c>
      <c r="E607" s="11"/>
      <c r="F607" s="23" t="s">
        <v>1923</v>
      </c>
      <c r="G607" s="23" t="s">
        <v>771</v>
      </c>
      <c r="H607" s="11"/>
      <c r="I607" s="24"/>
      <c r="J607" s="13">
        <v>474.75</v>
      </c>
      <c r="K607" s="67" t="s">
        <v>1649</v>
      </c>
      <c r="L607" s="19"/>
      <c r="M607" s="11" t="s">
        <v>18</v>
      </c>
      <c r="O607" s="7"/>
    </row>
    <row r="608" spans="2:15" ht="15" customHeight="1" x14ac:dyDescent="0.25">
      <c r="B608" s="11" t="s">
        <v>1924</v>
      </c>
      <c r="C608" s="16">
        <v>45468</v>
      </c>
      <c r="D608" s="23" t="s">
        <v>27</v>
      </c>
      <c r="E608" s="67"/>
      <c r="F608" s="23" t="s">
        <v>511</v>
      </c>
      <c r="G608" s="23" t="s">
        <v>512</v>
      </c>
      <c r="H608" s="67" t="s">
        <v>1081</v>
      </c>
      <c r="I608" s="71">
        <v>275</v>
      </c>
      <c r="J608" s="72">
        <v>275</v>
      </c>
      <c r="K608" s="67" t="s">
        <v>17</v>
      </c>
      <c r="L608" s="19" t="s">
        <v>1281</v>
      </c>
      <c r="M608" s="11" t="s">
        <v>31</v>
      </c>
    </row>
    <row r="609" spans="2:13" s="15" customFormat="1" ht="15" customHeight="1" x14ac:dyDescent="0.25">
      <c r="B609" s="11" t="s">
        <v>1925</v>
      </c>
      <c r="C609" s="16">
        <v>45468</v>
      </c>
      <c r="D609" s="23" t="s">
        <v>1926</v>
      </c>
      <c r="E609" s="67"/>
      <c r="F609" t="s">
        <v>413</v>
      </c>
      <c r="G609" s="23" t="s">
        <v>756</v>
      </c>
      <c r="H609" s="67">
        <v>99000</v>
      </c>
      <c r="I609" s="71">
        <v>3.6600000000000001E-2</v>
      </c>
      <c r="J609" s="72">
        <v>3625</v>
      </c>
      <c r="K609" s="67" t="s">
        <v>1927</v>
      </c>
      <c r="L609" s="73"/>
      <c r="M609" s="67" t="s">
        <v>18</v>
      </c>
    </row>
    <row r="610" spans="2:13" ht="15" customHeight="1" x14ac:dyDescent="0.25">
      <c r="B610" s="11" t="s">
        <v>1928</v>
      </c>
      <c r="C610" s="16">
        <v>45469</v>
      </c>
      <c r="D610" s="23" t="s">
        <v>1034</v>
      </c>
      <c r="E610" s="67"/>
      <c r="F610" s="23" t="s">
        <v>1929</v>
      </c>
      <c r="G610" s="23" t="s">
        <v>1930</v>
      </c>
      <c r="H610" s="67">
        <v>20</v>
      </c>
      <c r="I610" s="71">
        <v>59.25</v>
      </c>
      <c r="J610" s="13">
        <v>915</v>
      </c>
      <c r="K610" s="67" t="s">
        <v>25</v>
      </c>
      <c r="L610" s="73"/>
      <c r="M610" s="67" t="s">
        <v>18</v>
      </c>
    </row>
    <row r="611" spans="2:13" s="15" customFormat="1" ht="15" customHeight="1" x14ac:dyDescent="0.25">
      <c r="B611" s="11" t="s">
        <v>1931</v>
      </c>
      <c r="C611" s="16">
        <v>45469</v>
      </c>
      <c r="D611" s="23" t="s">
        <v>574</v>
      </c>
      <c r="E611" s="11"/>
      <c r="F611" s="23" t="s">
        <v>1932</v>
      </c>
      <c r="G611" s="23" t="s">
        <v>1933</v>
      </c>
      <c r="H611" s="11">
        <v>1000</v>
      </c>
      <c r="I611" s="24"/>
      <c r="J611" s="72">
        <v>12290</v>
      </c>
      <c r="K611" s="11" t="s">
        <v>17</v>
      </c>
      <c r="L611" s="19" t="s">
        <v>1316</v>
      </c>
      <c r="M611" s="11" t="s">
        <v>31</v>
      </c>
    </row>
    <row r="612" spans="2:13" ht="15" customHeight="1" x14ac:dyDescent="0.25">
      <c r="B612" s="11" t="s">
        <v>1934</v>
      </c>
      <c r="C612" s="16">
        <v>45469</v>
      </c>
      <c r="D612" s="23" t="s">
        <v>1935</v>
      </c>
      <c r="E612" s="11"/>
      <c r="F612" s="23" t="s">
        <v>1936</v>
      </c>
      <c r="G612" s="23" t="s">
        <v>1937</v>
      </c>
      <c r="H612" s="11">
        <v>1050</v>
      </c>
      <c r="I612" s="24"/>
      <c r="J612" s="13">
        <v>81620</v>
      </c>
      <c r="K612" s="11" t="s">
        <v>25</v>
      </c>
      <c r="L612" s="73"/>
      <c r="M612" s="67" t="s">
        <v>18</v>
      </c>
    </row>
    <row r="613" spans="2:13" ht="15" customHeight="1" x14ac:dyDescent="0.25">
      <c r="B613" s="11" t="s">
        <v>1938</v>
      </c>
      <c r="C613" s="16">
        <v>45469</v>
      </c>
      <c r="D613" t="s">
        <v>1043</v>
      </c>
      <c r="E613" s="67"/>
      <c r="F613" s="23" t="s">
        <v>511</v>
      </c>
      <c r="G613" s="23" t="s">
        <v>1939</v>
      </c>
      <c r="H613" s="11" t="s">
        <v>1940</v>
      </c>
      <c r="I613" s="24">
        <v>495</v>
      </c>
      <c r="J613" s="13">
        <v>1407.5</v>
      </c>
      <c r="K613" s="67" t="s">
        <v>25</v>
      </c>
      <c r="L613" s="73" t="s">
        <v>1294</v>
      </c>
      <c r="M613" s="67" t="s">
        <v>31</v>
      </c>
    </row>
    <row r="614" spans="2:13" s="15" customFormat="1" ht="15" customHeight="1" x14ac:dyDescent="0.25">
      <c r="B614" s="11" t="s">
        <v>1941</v>
      </c>
      <c r="C614" s="16">
        <v>45469</v>
      </c>
      <c r="D614" s="23" t="s">
        <v>507</v>
      </c>
      <c r="E614" s="67"/>
      <c r="F614" s="23" t="s">
        <v>1942</v>
      </c>
      <c r="G614" s="23" t="s">
        <v>1943</v>
      </c>
      <c r="H614" s="11">
        <v>100</v>
      </c>
      <c r="I614" s="24">
        <v>3.75</v>
      </c>
      <c r="J614" s="72">
        <v>19109</v>
      </c>
      <c r="K614" s="67" t="s">
        <v>25</v>
      </c>
      <c r="L614" s="19"/>
      <c r="M614" s="11" t="s">
        <v>18</v>
      </c>
    </row>
    <row r="615" spans="2:13" ht="15" customHeight="1" x14ac:dyDescent="0.25">
      <c r="B615" s="11" t="s">
        <v>1944</v>
      </c>
      <c r="C615" s="16">
        <v>45503</v>
      </c>
      <c r="D615" s="23" t="s">
        <v>1945</v>
      </c>
      <c r="E615" s="11"/>
      <c r="F615" s="23" t="s">
        <v>1946</v>
      </c>
      <c r="G615" s="23" t="s">
        <v>1947</v>
      </c>
      <c r="H615" s="11">
        <v>500</v>
      </c>
      <c r="I615" s="24">
        <v>4.5</v>
      </c>
      <c r="J615" s="13">
        <v>2250</v>
      </c>
      <c r="K615" s="11" t="s">
        <v>25</v>
      </c>
      <c r="L615" s="73"/>
      <c r="M615" s="67" t="s">
        <v>31</v>
      </c>
    </row>
    <row r="616" spans="2:13" s="15" customFormat="1" ht="15" customHeight="1" x14ac:dyDescent="0.25">
      <c r="B616" s="11" t="s">
        <v>1948</v>
      </c>
      <c r="C616" s="16">
        <v>45470</v>
      </c>
      <c r="D616" t="s">
        <v>1400</v>
      </c>
      <c r="E616" s="11"/>
      <c r="F616" s="23" t="s">
        <v>1949</v>
      </c>
      <c r="G616" s="23" t="s">
        <v>1950</v>
      </c>
      <c r="H616" s="11">
        <v>53</v>
      </c>
      <c r="I616" s="24"/>
      <c r="J616" s="72">
        <v>1095</v>
      </c>
      <c r="K616" s="11" t="s">
        <v>17</v>
      </c>
      <c r="L616" s="19" t="s">
        <v>1330</v>
      </c>
      <c r="M616" s="11" t="s">
        <v>31</v>
      </c>
    </row>
    <row r="617" spans="2:13" ht="15" customHeight="1" x14ac:dyDescent="0.25">
      <c r="B617" s="11" t="s">
        <v>1951</v>
      </c>
      <c r="C617" s="16">
        <v>45470</v>
      </c>
      <c r="D617" s="23" t="s">
        <v>1952</v>
      </c>
      <c r="E617" s="67"/>
      <c r="F617" s="23" t="s">
        <v>22</v>
      </c>
      <c r="G617" s="23" t="s">
        <v>226</v>
      </c>
      <c r="H617" s="67" t="s">
        <v>1081</v>
      </c>
      <c r="I617" s="71">
        <v>235</v>
      </c>
      <c r="J617" s="72">
        <v>65771.8</v>
      </c>
      <c r="K617" s="67" t="s">
        <v>25</v>
      </c>
      <c r="L617" s="73" t="s">
        <v>1313</v>
      </c>
      <c r="M617" s="67" t="s">
        <v>31</v>
      </c>
    </row>
    <row r="618" spans="2:13" s="15" customFormat="1" ht="15" customHeight="1" x14ac:dyDescent="0.25">
      <c r="B618" s="11" t="s">
        <v>1953</v>
      </c>
      <c r="C618" s="16">
        <v>45485</v>
      </c>
      <c r="D618" s="23" t="s">
        <v>574</v>
      </c>
      <c r="E618" s="67"/>
      <c r="F618" t="s">
        <v>1954</v>
      </c>
      <c r="G618" s="23" t="s">
        <v>1955</v>
      </c>
      <c r="H618" s="67">
        <v>8</v>
      </c>
      <c r="I618" s="71"/>
      <c r="J618" s="72">
        <v>3964</v>
      </c>
      <c r="K618" s="67" t="s">
        <v>17</v>
      </c>
      <c r="L618" s="19" t="s">
        <v>1444</v>
      </c>
      <c r="M618" s="11" t="s">
        <v>31</v>
      </c>
    </row>
    <row r="619" spans="2:13" s="15" customFormat="1" ht="15" customHeight="1" x14ac:dyDescent="0.25">
      <c r="B619" s="11" t="s">
        <v>1956</v>
      </c>
      <c r="C619" s="16">
        <v>45470</v>
      </c>
      <c r="D619" s="23" t="s">
        <v>463</v>
      </c>
      <c r="E619" s="67"/>
      <c r="F619" s="23" t="s">
        <v>1957</v>
      </c>
      <c r="G619" s="23" t="s">
        <v>1958</v>
      </c>
      <c r="H619" s="67"/>
      <c r="I619" s="71"/>
      <c r="J619" s="13">
        <v>3625</v>
      </c>
      <c r="K619" s="11" t="s">
        <v>17</v>
      </c>
      <c r="L619" s="19"/>
      <c r="M619" s="11" t="s">
        <v>18</v>
      </c>
    </row>
    <row r="620" spans="2:13" ht="15" customHeight="1" x14ac:dyDescent="0.25">
      <c r="B620" s="11" t="s">
        <v>1959</v>
      </c>
      <c r="C620" s="16">
        <v>45491</v>
      </c>
      <c r="D620" s="23" t="s">
        <v>1960</v>
      </c>
      <c r="E620" s="11"/>
      <c r="F620" s="23" t="s">
        <v>197</v>
      </c>
      <c r="G620" s="23" t="s">
        <v>226</v>
      </c>
      <c r="H620" s="11" t="s">
        <v>1961</v>
      </c>
      <c r="I620" s="24"/>
      <c r="J620" s="13">
        <v>1175</v>
      </c>
      <c r="K620" s="11" t="s">
        <v>25</v>
      </c>
      <c r="L620" s="73" t="s">
        <v>1473</v>
      </c>
      <c r="M620" s="67" t="s">
        <v>31</v>
      </c>
    </row>
    <row r="621" spans="2:13" ht="15" customHeight="1" x14ac:dyDescent="0.25">
      <c r="B621" s="11" t="s">
        <v>1962</v>
      </c>
      <c r="C621" s="16">
        <v>45471</v>
      </c>
      <c r="D621" s="23" t="s">
        <v>1963</v>
      </c>
      <c r="E621" s="11"/>
      <c r="F621" s="23" t="s">
        <v>1964</v>
      </c>
      <c r="G621" s="23" t="s">
        <v>1965</v>
      </c>
      <c r="H621" s="11">
        <v>3</v>
      </c>
      <c r="I621" s="24"/>
      <c r="J621" s="13">
        <v>915</v>
      </c>
      <c r="K621" s="11" t="s">
        <v>1927</v>
      </c>
      <c r="L621" s="75" t="s">
        <v>1966</v>
      </c>
      <c r="M621" s="67" t="s">
        <v>31</v>
      </c>
    </row>
    <row r="622" spans="2:13" ht="15" customHeight="1" x14ac:dyDescent="0.25">
      <c r="B622" s="11" t="s">
        <v>1967</v>
      </c>
      <c r="C622" s="16">
        <v>45471</v>
      </c>
      <c r="D622" t="s">
        <v>1968</v>
      </c>
      <c r="E622" s="67"/>
      <c r="F622" s="23" t="s">
        <v>1969</v>
      </c>
      <c r="G622" s="23" t="s">
        <v>1970</v>
      </c>
      <c r="H622" s="11">
        <v>15</v>
      </c>
      <c r="I622" s="24">
        <v>575</v>
      </c>
      <c r="J622" s="76">
        <v>8625</v>
      </c>
      <c r="K622" s="67" t="s">
        <v>17</v>
      </c>
      <c r="L622" s="73"/>
      <c r="M622" s="67" t="s">
        <v>18</v>
      </c>
    </row>
    <row r="623" spans="2:13" ht="15" customHeight="1" x14ac:dyDescent="0.25">
      <c r="B623" s="11" t="s">
        <v>1971</v>
      </c>
      <c r="C623" s="16">
        <v>45471</v>
      </c>
      <c r="D623" s="23" t="s">
        <v>574</v>
      </c>
      <c r="E623" s="67"/>
      <c r="F623" s="23" t="s">
        <v>1972</v>
      </c>
      <c r="G623" s="23" t="s">
        <v>1973</v>
      </c>
      <c r="H623" s="11">
        <v>200</v>
      </c>
      <c r="I623" s="24"/>
      <c r="J623" s="76">
        <v>1675</v>
      </c>
      <c r="K623" s="67" t="s">
        <v>17</v>
      </c>
      <c r="L623" s="73" t="s">
        <v>1358</v>
      </c>
      <c r="M623" s="67" t="s">
        <v>31</v>
      </c>
    </row>
    <row r="624" spans="2:13" s="15" customFormat="1" ht="15" customHeight="1" x14ac:dyDescent="0.25">
      <c r="B624" s="11" t="s">
        <v>1974</v>
      </c>
      <c r="C624" s="16">
        <v>45477</v>
      </c>
      <c r="D624" s="23" t="s">
        <v>574</v>
      </c>
      <c r="E624" s="11"/>
      <c r="F624" s="23" t="s">
        <v>1975</v>
      </c>
      <c r="G624" s="23" t="s">
        <v>1976</v>
      </c>
      <c r="H624" s="11">
        <v>16</v>
      </c>
      <c r="I624" s="24"/>
      <c r="J624" s="77">
        <v>2525</v>
      </c>
      <c r="K624" s="11" t="s">
        <v>17</v>
      </c>
      <c r="L624" s="19"/>
      <c r="M624" s="11" t="s">
        <v>18</v>
      </c>
    </row>
    <row r="625" spans="2:13" s="15" customFormat="1" ht="15" customHeight="1" x14ac:dyDescent="0.25">
      <c r="B625" s="11" t="s">
        <v>1977</v>
      </c>
      <c r="C625" s="16">
        <v>45471</v>
      </c>
      <c r="D625" t="s">
        <v>1978</v>
      </c>
      <c r="E625" s="11"/>
      <c r="F625" s="23" t="s">
        <v>1979</v>
      </c>
      <c r="G625" s="23" t="s">
        <v>1980</v>
      </c>
      <c r="H625" s="11">
        <v>8</v>
      </c>
      <c r="I625" s="24">
        <v>475</v>
      </c>
      <c r="J625" s="13">
        <v>3800</v>
      </c>
      <c r="K625" s="11" t="s">
        <v>25</v>
      </c>
      <c r="L625" s="19"/>
      <c r="M625" s="11" t="s">
        <v>18</v>
      </c>
    </row>
    <row r="626" spans="2:13" s="15" customFormat="1" ht="15" customHeight="1" x14ac:dyDescent="0.25">
      <c r="B626" s="11" t="s">
        <v>1981</v>
      </c>
      <c r="C626" s="16">
        <v>45475</v>
      </c>
      <c r="D626" s="23" t="s">
        <v>1982</v>
      </c>
      <c r="E626" s="67"/>
      <c r="F626" s="23" t="s">
        <v>1983</v>
      </c>
      <c r="G626" s="23" t="s">
        <v>1984</v>
      </c>
      <c r="H626" s="67">
        <v>25</v>
      </c>
      <c r="I626" s="71">
        <v>49.75</v>
      </c>
      <c r="J626" s="72">
        <v>1243.75</v>
      </c>
      <c r="K626" s="67" t="s">
        <v>25</v>
      </c>
      <c r="L626" s="19" t="s">
        <v>1350</v>
      </c>
      <c r="M626" s="11" t="s">
        <v>31</v>
      </c>
    </row>
    <row r="627" spans="2:13" ht="15" customHeight="1" x14ac:dyDescent="0.25">
      <c r="B627" s="11" t="s">
        <v>1985</v>
      </c>
      <c r="C627" s="16">
        <v>45472</v>
      </c>
      <c r="D627" s="23" t="s">
        <v>1986</v>
      </c>
      <c r="E627" s="67"/>
      <c r="F627" t="s">
        <v>619</v>
      </c>
      <c r="G627" s="23" t="s">
        <v>1987</v>
      </c>
      <c r="H627" s="67">
        <v>1</v>
      </c>
      <c r="I627" s="71">
        <v>275</v>
      </c>
      <c r="J627" s="72">
        <v>275</v>
      </c>
      <c r="K627" s="67" t="s">
        <v>17</v>
      </c>
      <c r="L627" s="73" t="s">
        <v>1988</v>
      </c>
      <c r="M627" s="67" t="s">
        <v>31</v>
      </c>
    </row>
    <row r="628" spans="2:13" ht="15" customHeight="1" x14ac:dyDescent="0.25">
      <c r="B628" s="11" t="s">
        <v>1989</v>
      </c>
      <c r="C628" s="16">
        <v>45474</v>
      </c>
      <c r="D628" s="23" t="s">
        <v>1098</v>
      </c>
      <c r="E628" s="67"/>
      <c r="F628" s="23" t="s">
        <v>1990</v>
      </c>
      <c r="G628" s="23" t="s">
        <v>1991</v>
      </c>
      <c r="H628" s="67">
        <v>500</v>
      </c>
      <c r="I628" s="71">
        <v>0.97</v>
      </c>
      <c r="J628" s="72">
        <v>485</v>
      </c>
      <c r="K628" s="67" t="s">
        <v>17</v>
      </c>
      <c r="L628" s="73" t="s">
        <v>1340</v>
      </c>
      <c r="M628" s="67" t="s">
        <v>31</v>
      </c>
    </row>
    <row r="629" spans="2:13" ht="15" customHeight="1" x14ac:dyDescent="0.25">
      <c r="B629" s="11" t="s">
        <v>1992</v>
      </c>
      <c r="C629" s="16">
        <v>45474</v>
      </c>
      <c r="D629" s="23" t="s">
        <v>115</v>
      </c>
      <c r="E629" s="11"/>
      <c r="F629" s="23" t="s">
        <v>1993</v>
      </c>
      <c r="G629" s="23" t="s">
        <v>1729</v>
      </c>
      <c r="H629" s="11">
        <v>4</v>
      </c>
      <c r="I629" s="24">
        <v>175</v>
      </c>
      <c r="J629" s="13">
        <v>700</v>
      </c>
      <c r="K629" s="11" t="s">
        <v>25</v>
      </c>
      <c r="L629" s="73" t="s">
        <v>1364</v>
      </c>
      <c r="M629" s="67" t="s">
        <v>31</v>
      </c>
    </row>
    <row r="630" spans="2:13" s="15" customFormat="1" ht="15" customHeight="1" x14ac:dyDescent="0.25">
      <c r="B630" s="11" t="s">
        <v>1994</v>
      </c>
      <c r="C630" s="16">
        <v>45474</v>
      </c>
      <c r="D630" s="23" t="s">
        <v>1995</v>
      </c>
      <c r="E630" s="11"/>
      <c r="F630" s="23" t="s">
        <v>22</v>
      </c>
      <c r="G630" s="23" t="s">
        <v>735</v>
      </c>
      <c r="H630" s="11" t="s">
        <v>1996</v>
      </c>
      <c r="I630" s="24">
        <v>125</v>
      </c>
      <c r="J630" s="13">
        <v>125</v>
      </c>
      <c r="K630" s="11" t="s">
        <v>25</v>
      </c>
      <c r="L630" s="19" t="s">
        <v>1352</v>
      </c>
      <c r="M630" s="11" t="s">
        <v>31</v>
      </c>
    </row>
    <row r="631" spans="2:13" s="15" customFormat="1" ht="15" customHeight="1" x14ac:dyDescent="0.25">
      <c r="B631" s="11" t="s">
        <v>1997</v>
      </c>
      <c r="C631" s="16">
        <v>45475</v>
      </c>
      <c r="D631" s="23" t="s">
        <v>1998</v>
      </c>
      <c r="E631" s="11"/>
      <c r="F631" s="23" t="s">
        <v>22</v>
      </c>
      <c r="G631" s="78" t="s">
        <v>1999</v>
      </c>
      <c r="H631" s="79" t="s">
        <v>1940</v>
      </c>
      <c r="I631" s="24">
        <v>415</v>
      </c>
      <c r="J631" s="13">
        <v>415</v>
      </c>
      <c r="K631" s="11" t="s">
        <v>1649</v>
      </c>
      <c r="L631" s="19"/>
      <c r="M631" s="11" t="s">
        <v>18</v>
      </c>
    </row>
    <row r="632" spans="2:13" ht="15" customHeight="1" x14ac:dyDescent="0.25">
      <c r="B632" s="11" t="s">
        <v>2000</v>
      </c>
      <c r="C632" s="16">
        <v>45475</v>
      </c>
      <c r="D632" s="12" t="s">
        <v>27</v>
      </c>
      <c r="E632" s="67"/>
      <c r="F632" s="12" t="s">
        <v>2001</v>
      </c>
      <c r="G632" t="s">
        <v>2002</v>
      </c>
      <c r="H632" s="67">
        <v>2</v>
      </c>
      <c r="I632" s="71"/>
      <c r="J632" s="72">
        <v>1574</v>
      </c>
      <c r="K632" s="67" t="s">
        <v>17</v>
      </c>
      <c r="L632" s="73"/>
      <c r="M632" s="67" t="s">
        <v>18</v>
      </c>
    </row>
    <row r="633" spans="2:13" s="15" customFormat="1" ht="15" customHeight="1" x14ac:dyDescent="0.25">
      <c r="B633" s="11" t="s">
        <v>2003</v>
      </c>
      <c r="C633" s="16">
        <v>45475</v>
      </c>
      <c r="D633" t="s">
        <v>574</v>
      </c>
      <c r="E633" s="11"/>
      <c r="F633" t="s">
        <v>2004</v>
      </c>
      <c r="G633" t="s">
        <v>771</v>
      </c>
      <c r="H633" s="11">
        <v>10</v>
      </c>
      <c r="I633" s="24">
        <v>5</v>
      </c>
      <c r="J633" s="13">
        <v>50</v>
      </c>
      <c r="K633" s="11" t="s">
        <v>17</v>
      </c>
      <c r="L633" s="19"/>
      <c r="M633" s="11" t="s">
        <v>18</v>
      </c>
    </row>
    <row r="634" spans="2:13" s="15" customFormat="1" ht="15" customHeight="1" x14ac:dyDescent="0.25">
      <c r="B634" s="11" t="s">
        <v>2005</v>
      </c>
      <c r="C634" s="16">
        <v>45502</v>
      </c>
      <c r="D634" s="12" t="s">
        <v>27</v>
      </c>
      <c r="E634" s="11"/>
      <c r="F634" s="23" t="s">
        <v>2006</v>
      </c>
      <c r="G634" s="23" t="s">
        <v>2007</v>
      </c>
      <c r="H634" s="11">
        <v>150</v>
      </c>
      <c r="I634" s="24"/>
      <c r="J634" s="13">
        <v>5322.5</v>
      </c>
      <c r="K634" s="11" t="s">
        <v>17</v>
      </c>
      <c r="L634" s="19"/>
      <c r="M634" s="11" t="s">
        <v>18</v>
      </c>
    </row>
    <row r="635" spans="2:13" ht="15" customHeight="1" x14ac:dyDescent="0.25">
      <c r="B635" s="11" t="s">
        <v>2008</v>
      </c>
      <c r="C635" s="16">
        <v>45475</v>
      </c>
      <c r="D635" t="s">
        <v>564</v>
      </c>
      <c r="E635" s="67"/>
      <c r="F635" s="23" t="s">
        <v>2009</v>
      </c>
      <c r="G635" s="23" t="s">
        <v>2010</v>
      </c>
      <c r="H635" s="67">
        <v>5</v>
      </c>
      <c r="I635" s="71">
        <v>176.25</v>
      </c>
      <c r="J635" s="72">
        <v>881.25</v>
      </c>
      <c r="K635" s="67" t="s">
        <v>25</v>
      </c>
      <c r="L635" s="73"/>
      <c r="M635" s="67" t="s">
        <v>18</v>
      </c>
    </row>
    <row r="636" spans="2:13" s="15" customFormat="1" ht="15" customHeight="1" x14ac:dyDescent="0.25">
      <c r="B636" s="11" t="s">
        <v>2011</v>
      </c>
      <c r="C636" s="16">
        <v>45475</v>
      </c>
      <c r="D636" s="23" t="s">
        <v>2012</v>
      </c>
      <c r="E636" s="11"/>
      <c r="F636" t="s">
        <v>66</v>
      </c>
      <c r="G636" s="23" t="s">
        <v>2013</v>
      </c>
      <c r="H636" s="11">
        <v>30</v>
      </c>
      <c r="I636" s="24">
        <v>67.75</v>
      </c>
      <c r="J636" s="13">
        <v>2032.5</v>
      </c>
      <c r="K636" s="11" t="s">
        <v>25</v>
      </c>
      <c r="L636" s="19" t="s">
        <v>1376</v>
      </c>
      <c r="M636" s="11" t="s">
        <v>31</v>
      </c>
    </row>
    <row r="637" spans="2:13" ht="15" customHeight="1" x14ac:dyDescent="0.25">
      <c r="B637" s="11" t="s">
        <v>2014</v>
      </c>
      <c r="C637" s="16">
        <v>45475</v>
      </c>
      <c r="D637" s="12" t="s">
        <v>1670</v>
      </c>
      <c r="E637" s="67"/>
      <c r="F637" s="23" t="s">
        <v>2015</v>
      </c>
      <c r="G637" s="23" t="s">
        <v>2016</v>
      </c>
      <c r="H637" s="67">
        <v>500</v>
      </c>
      <c r="I637" s="71">
        <v>0.87</v>
      </c>
      <c r="J637" s="72">
        <v>435</v>
      </c>
      <c r="K637" s="67" t="s">
        <v>25</v>
      </c>
      <c r="L637" s="73"/>
      <c r="M637" s="67" t="s">
        <v>18</v>
      </c>
    </row>
    <row r="638" spans="2:13" s="15" customFormat="1" ht="15" customHeight="1" x14ac:dyDescent="0.25">
      <c r="B638" s="11" t="s">
        <v>2017</v>
      </c>
      <c r="C638" s="16">
        <v>45475</v>
      </c>
      <c r="D638" s="23" t="s">
        <v>98</v>
      </c>
      <c r="E638" s="11"/>
      <c r="F638" s="23" t="s">
        <v>2018</v>
      </c>
      <c r="G638" s="23"/>
      <c r="H638" s="11">
        <v>2</v>
      </c>
      <c r="I638" s="24">
        <v>120</v>
      </c>
      <c r="J638" s="13">
        <v>240</v>
      </c>
      <c r="K638" s="11" t="s">
        <v>25</v>
      </c>
      <c r="L638" s="19"/>
      <c r="M638" s="11" t="s">
        <v>18</v>
      </c>
    </row>
    <row r="639" spans="2:13" ht="15" customHeight="1" x14ac:dyDescent="0.25">
      <c r="B639" s="11" t="s">
        <v>2019</v>
      </c>
      <c r="C639" s="16">
        <v>45475</v>
      </c>
      <c r="D639" s="12" t="s">
        <v>1945</v>
      </c>
      <c r="E639" s="67"/>
      <c r="F639" s="23" t="s">
        <v>2020</v>
      </c>
      <c r="G639" s="23" t="s">
        <v>2021</v>
      </c>
      <c r="H639" s="67">
        <v>1501</v>
      </c>
      <c r="I639" s="71"/>
      <c r="J639" s="72">
        <v>8795</v>
      </c>
      <c r="K639" s="67" t="s">
        <v>25</v>
      </c>
      <c r="L639" s="73"/>
      <c r="M639" s="67" t="s">
        <v>18</v>
      </c>
    </row>
    <row r="640" spans="2:13" ht="15" customHeight="1" x14ac:dyDescent="0.25">
      <c r="B640" s="11" t="s">
        <v>2022</v>
      </c>
      <c r="C640" s="16">
        <v>45476</v>
      </c>
      <c r="D640" s="23" t="s">
        <v>241</v>
      </c>
      <c r="E640" s="11"/>
      <c r="F640" s="23" t="s">
        <v>197</v>
      </c>
      <c r="G640" s="23" t="s">
        <v>264</v>
      </c>
      <c r="H640" s="11" t="s">
        <v>2023</v>
      </c>
      <c r="I640" s="24">
        <v>235</v>
      </c>
      <c r="J640" s="13">
        <v>470</v>
      </c>
      <c r="K640" s="11" t="s">
        <v>17</v>
      </c>
      <c r="L640" s="19" t="s">
        <v>2024</v>
      </c>
      <c r="M640" s="11" t="s">
        <v>31</v>
      </c>
    </row>
    <row r="641" spans="2:13" ht="15" customHeight="1" x14ac:dyDescent="0.25">
      <c r="B641" s="11" t="s">
        <v>2025</v>
      </c>
      <c r="C641" s="16">
        <v>45476</v>
      </c>
      <c r="D641" s="23" t="s">
        <v>2026</v>
      </c>
      <c r="E641" s="11"/>
      <c r="F641" s="23" t="s">
        <v>891</v>
      </c>
      <c r="G641" s="23" t="s">
        <v>771</v>
      </c>
      <c r="H641" s="79">
        <v>5</v>
      </c>
      <c r="I641" s="24">
        <v>64.75</v>
      </c>
      <c r="J641" s="13">
        <v>323.75</v>
      </c>
      <c r="K641" s="11" t="s">
        <v>25</v>
      </c>
      <c r="L641" s="19"/>
      <c r="M641" s="11" t="s">
        <v>18</v>
      </c>
    </row>
    <row r="642" spans="2:13" ht="15" customHeight="1" x14ac:dyDescent="0.25">
      <c r="B642" s="11" t="s">
        <v>2027</v>
      </c>
      <c r="C642" s="16">
        <v>45476</v>
      </c>
      <c r="D642" s="12" t="s">
        <v>1945</v>
      </c>
      <c r="E642" s="67"/>
      <c r="F642" s="12" t="s">
        <v>2028</v>
      </c>
      <c r="G642" s="23" t="s">
        <v>2029</v>
      </c>
      <c r="H642" s="67">
        <v>2000</v>
      </c>
      <c r="I642" s="71">
        <v>8.9499999999999993</v>
      </c>
      <c r="J642" s="72">
        <v>17900</v>
      </c>
      <c r="K642" s="67" t="s">
        <v>25</v>
      </c>
      <c r="L642" s="73" t="s">
        <v>1411</v>
      </c>
      <c r="M642" s="67" t="s">
        <v>31</v>
      </c>
    </row>
    <row r="643" spans="2:13" s="15" customFormat="1" ht="15" customHeight="1" x14ac:dyDescent="0.25">
      <c r="B643" s="11" t="s">
        <v>2030</v>
      </c>
      <c r="C643" s="16">
        <v>45476</v>
      </c>
      <c r="D643" t="s">
        <v>574</v>
      </c>
      <c r="E643" s="11"/>
      <c r="F643" t="s">
        <v>1891</v>
      </c>
      <c r="G643" s="23" t="s">
        <v>2031</v>
      </c>
      <c r="H643" s="11">
        <v>100</v>
      </c>
      <c r="I643" s="24">
        <v>4.75</v>
      </c>
      <c r="J643" s="13">
        <v>475</v>
      </c>
      <c r="K643" s="11" t="s">
        <v>17</v>
      </c>
      <c r="L643" s="19" t="s">
        <v>1385</v>
      </c>
      <c r="M643" s="11" t="s">
        <v>31</v>
      </c>
    </row>
    <row r="644" spans="2:13" s="15" customFormat="1" ht="15" customHeight="1" x14ac:dyDescent="0.25">
      <c r="B644" s="11" t="s">
        <v>2032</v>
      </c>
      <c r="C644" s="16">
        <v>45476</v>
      </c>
      <c r="D644" s="12" t="s">
        <v>2033</v>
      </c>
      <c r="E644" s="11"/>
      <c r="F644" s="23" t="s">
        <v>2034</v>
      </c>
      <c r="G644" s="23"/>
      <c r="H644" s="11">
        <v>120</v>
      </c>
      <c r="I644" s="24"/>
      <c r="J644" s="13">
        <v>3940</v>
      </c>
      <c r="K644" s="11" t="s">
        <v>1649</v>
      </c>
      <c r="L644" s="19"/>
      <c r="M644" s="11" t="s">
        <v>18</v>
      </c>
    </row>
    <row r="645" spans="2:13" s="15" customFormat="1" ht="15" customHeight="1" x14ac:dyDescent="0.25">
      <c r="B645" s="11" t="s">
        <v>2035</v>
      </c>
      <c r="C645" s="16">
        <v>45476</v>
      </c>
      <c r="D645" t="s">
        <v>1945</v>
      </c>
      <c r="E645" s="67"/>
      <c r="F645" s="23" t="s">
        <v>500</v>
      </c>
      <c r="G645" s="23" t="s">
        <v>2036</v>
      </c>
      <c r="H645" s="67">
        <v>50</v>
      </c>
      <c r="I645" s="71">
        <v>475</v>
      </c>
      <c r="J645" s="72">
        <v>23750</v>
      </c>
      <c r="K645" s="11" t="s">
        <v>17</v>
      </c>
      <c r="L645" s="73"/>
      <c r="M645" s="67" t="s">
        <v>18</v>
      </c>
    </row>
    <row r="646" spans="2:13" ht="15" customHeight="1" x14ac:dyDescent="0.25">
      <c r="B646" s="11" t="s">
        <v>2037</v>
      </c>
      <c r="C646" s="16">
        <v>45477</v>
      </c>
      <c r="D646" s="23" t="s">
        <v>2038</v>
      </c>
      <c r="E646" s="11"/>
      <c r="F646" t="s">
        <v>2039</v>
      </c>
      <c r="G646" t="s">
        <v>2040</v>
      </c>
      <c r="H646" s="11" t="s">
        <v>2041</v>
      </c>
      <c r="I646" s="24">
        <v>14.45</v>
      </c>
      <c r="J646" s="13">
        <v>9200</v>
      </c>
      <c r="K646" s="11" t="s">
        <v>25</v>
      </c>
      <c r="L646" s="19"/>
      <c r="M646" s="11" t="s">
        <v>31</v>
      </c>
    </row>
    <row r="647" spans="2:13" s="15" customFormat="1" ht="15" customHeight="1" x14ac:dyDescent="0.25">
      <c r="B647" s="11" t="s">
        <v>2042</v>
      </c>
      <c r="C647" s="16">
        <v>45481</v>
      </c>
      <c r="D647" s="12" t="s">
        <v>2043</v>
      </c>
      <c r="E647" s="67"/>
      <c r="F647" s="23" t="s">
        <v>2044</v>
      </c>
      <c r="G647" s="23" t="s">
        <v>771</v>
      </c>
      <c r="H647" s="67"/>
      <c r="I647" s="71"/>
      <c r="J647" s="72">
        <v>12290</v>
      </c>
      <c r="K647" s="67" t="s">
        <v>1927</v>
      </c>
      <c r="L647" s="73"/>
      <c r="M647" s="67" t="s">
        <v>18</v>
      </c>
    </row>
    <row r="648" spans="2:13" s="15" customFormat="1" ht="15" customHeight="1" x14ac:dyDescent="0.25">
      <c r="B648" s="11" t="s">
        <v>2045</v>
      </c>
      <c r="C648" s="16">
        <v>45477</v>
      </c>
      <c r="D648" s="12" t="s">
        <v>1043</v>
      </c>
      <c r="E648" s="67"/>
      <c r="F648" s="12" t="s">
        <v>22</v>
      </c>
      <c r="G648" s="23" t="s">
        <v>1939</v>
      </c>
      <c r="H648" s="67" t="s">
        <v>1940</v>
      </c>
      <c r="I648" s="71">
        <v>435</v>
      </c>
      <c r="J648" s="72">
        <v>435</v>
      </c>
      <c r="K648" s="67" t="s">
        <v>25</v>
      </c>
      <c r="L648" s="19" t="s">
        <v>2046</v>
      </c>
      <c r="M648" s="11" t="s">
        <v>31</v>
      </c>
    </row>
    <row r="649" spans="2:13" ht="15" customHeight="1" x14ac:dyDescent="0.25">
      <c r="B649" s="11" t="s">
        <v>2047</v>
      </c>
      <c r="C649" s="16">
        <v>45477</v>
      </c>
      <c r="D649" t="s">
        <v>2048</v>
      </c>
      <c r="E649" s="11"/>
      <c r="F649" t="s">
        <v>2049</v>
      </c>
      <c r="G649" s="23" t="s">
        <v>2050</v>
      </c>
      <c r="H649" s="11">
        <v>10020</v>
      </c>
      <c r="I649" s="24"/>
      <c r="J649" s="13">
        <v>160195</v>
      </c>
      <c r="K649" s="11" t="s">
        <v>1649</v>
      </c>
      <c r="L649" s="73"/>
      <c r="M649" s="67" t="s">
        <v>18</v>
      </c>
    </row>
    <row r="650" spans="2:13" ht="15" customHeight="1" x14ac:dyDescent="0.25">
      <c r="B650" s="11" t="s">
        <v>2051</v>
      </c>
      <c r="C650" s="16">
        <v>45485</v>
      </c>
      <c r="D650" s="12" t="s">
        <v>44</v>
      </c>
      <c r="E650" s="11"/>
      <c r="F650" s="23" t="s">
        <v>2052</v>
      </c>
      <c r="G650" s="23" t="s">
        <v>771</v>
      </c>
      <c r="H650" s="11">
        <v>200</v>
      </c>
      <c r="I650" s="24">
        <v>5.18</v>
      </c>
      <c r="J650" s="13">
        <v>3210</v>
      </c>
      <c r="K650" s="11" t="s">
        <v>17</v>
      </c>
      <c r="L650" s="73" t="s">
        <v>2053</v>
      </c>
      <c r="M650" s="67" t="s">
        <v>31</v>
      </c>
    </row>
    <row r="651" spans="2:13" s="15" customFormat="1" ht="15" customHeight="1" x14ac:dyDescent="0.25">
      <c r="B651" s="11" t="s">
        <v>2054</v>
      </c>
      <c r="C651" s="16">
        <v>45477</v>
      </c>
      <c r="D651" s="23" t="s">
        <v>2055</v>
      </c>
      <c r="E651" s="11"/>
      <c r="F651" s="23" t="s">
        <v>2056</v>
      </c>
      <c r="G651" s="23" t="s">
        <v>2057</v>
      </c>
      <c r="H651" s="11"/>
      <c r="I651" s="24"/>
      <c r="J651" s="13">
        <v>81620</v>
      </c>
      <c r="K651" s="11" t="s">
        <v>1927</v>
      </c>
      <c r="L651" s="19"/>
      <c r="M651" s="11" t="s">
        <v>18</v>
      </c>
    </row>
    <row r="652" spans="2:13" ht="15" customHeight="1" x14ac:dyDescent="0.25">
      <c r="B652" s="11" t="s">
        <v>2058</v>
      </c>
      <c r="C652" s="16">
        <v>45478</v>
      </c>
      <c r="D652" s="12" t="s">
        <v>1302</v>
      </c>
      <c r="E652" s="67"/>
      <c r="F652" s="12" t="s">
        <v>2059</v>
      </c>
      <c r="G652" s="12" t="s">
        <v>2060</v>
      </c>
      <c r="H652" s="67">
        <v>2</v>
      </c>
      <c r="I652" s="71"/>
      <c r="J652" s="72">
        <v>2250</v>
      </c>
      <c r="K652" s="67" t="s">
        <v>25</v>
      </c>
      <c r="L652" s="73" t="s">
        <v>2061</v>
      </c>
      <c r="M652" s="67" t="s">
        <v>31</v>
      </c>
    </row>
    <row r="653" spans="2:13" s="15" customFormat="1" ht="15" customHeight="1" x14ac:dyDescent="0.25">
      <c r="B653" s="11" t="s">
        <v>2062</v>
      </c>
      <c r="C653" s="16">
        <v>45483</v>
      </c>
      <c r="D653" s="12" t="s">
        <v>1674</v>
      </c>
      <c r="E653" s="11"/>
      <c r="F653" s="12" t="s">
        <v>22</v>
      </c>
      <c r="G653" s="12" t="s">
        <v>735</v>
      </c>
      <c r="H653" s="67" t="s">
        <v>2063</v>
      </c>
      <c r="I653" s="24">
        <v>175</v>
      </c>
      <c r="J653" s="13">
        <v>525</v>
      </c>
      <c r="K653" s="11" t="s">
        <v>25</v>
      </c>
      <c r="L653" s="19" t="s">
        <v>1399</v>
      </c>
      <c r="M653" s="11" t="s">
        <v>31</v>
      </c>
    </row>
    <row r="654" spans="2:13" ht="15" customHeight="1" x14ac:dyDescent="0.25">
      <c r="B654" s="11" t="s">
        <v>2064</v>
      </c>
      <c r="C654" s="16">
        <v>45478</v>
      </c>
      <c r="D654" s="12" t="s">
        <v>1569</v>
      </c>
      <c r="E654" s="67"/>
      <c r="F654" s="12" t="s">
        <v>2065</v>
      </c>
      <c r="G654" s="12" t="s">
        <v>2066</v>
      </c>
      <c r="H654" s="67">
        <v>1201</v>
      </c>
      <c r="I654" s="80"/>
      <c r="J654" s="72">
        <v>45470</v>
      </c>
      <c r="K654" s="11" t="s">
        <v>17</v>
      </c>
      <c r="L654" s="73"/>
      <c r="M654" s="67" t="s">
        <v>18</v>
      </c>
    </row>
    <row r="655" spans="2:13" ht="15" customHeight="1" x14ac:dyDescent="0.25">
      <c r="B655" s="11" t="s">
        <v>2067</v>
      </c>
      <c r="C655" s="16">
        <v>45478</v>
      </c>
      <c r="D655" s="12" t="s">
        <v>44</v>
      </c>
      <c r="E655" s="67"/>
      <c r="F655" s="12" t="s">
        <v>2068</v>
      </c>
      <c r="G655" s="12" t="s">
        <v>2069</v>
      </c>
      <c r="H655" s="67">
        <v>500</v>
      </c>
      <c r="I655" s="71">
        <v>0.75</v>
      </c>
      <c r="J655" s="72">
        <v>375</v>
      </c>
      <c r="K655" s="67" t="s">
        <v>17</v>
      </c>
      <c r="L655" s="73"/>
      <c r="M655" s="67" t="s">
        <v>18</v>
      </c>
    </row>
    <row r="656" spans="2:13" ht="15" customHeight="1" x14ac:dyDescent="0.25">
      <c r="B656" s="11" t="s">
        <v>2070</v>
      </c>
      <c r="C656" s="16">
        <v>45478</v>
      </c>
      <c r="D656" s="12" t="s">
        <v>2071</v>
      </c>
      <c r="E656" s="67"/>
      <c r="F656" t="s">
        <v>511</v>
      </c>
      <c r="G656" t="s">
        <v>2072</v>
      </c>
      <c r="H656" s="7" t="s">
        <v>2073</v>
      </c>
      <c r="I656">
        <v>195</v>
      </c>
      <c r="J656" s="65">
        <v>2535</v>
      </c>
      <c r="K656" s="67" t="s">
        <v>1649</v>
      </c>
      <c r="L656" s="73"/>
      <c r="M656" s="67" t="s">
        <v>18</v>
      </c>
    </row>
    <row r="657" spans="2:15" s="15" customFormat="1" ht="15" customHeight="1" x14ac:dyDescent="0.25">
      <c r="B657" s="11" t="s">
        <v>2074</v>
      </c>
      <c r="C657" s="16">
        <v>45481</v>
      </c>
      <c r="D657" s="81" t="s">
        <v>2075</v>
      </c>
      <c r="E657" s="11"/>
      <c r="F657" s="23" t="s">
        <v>2076</v>
      </c>
      <c r="G657" s="23" t="s">
        <v>2077</v>
      </c>
      <c r="H657" s="11">
        <v>150</v>
      </c>
      <c r="I657" s="24"/>
      <c r="J657" s="13">
        <v>1407.5</v>
      </c>
      <c r="K657" s="67" t="s">
        <v>1649</v>
      </c>
      <c r="L657" s="19"/>
      <c r="M657" s="11" t="s">
        <v>18</v>
      </c>
    </row>
    <row r="658" spans="2:15" s="15" customFormat="1" x14ac:dyDescent="0.25">
      <c r="B658" s="11" t="s">
        <v>2078</v>
      </c>
      <c r="C658" s="16">
        <v>45481</v>
      </c>
      <c r="D658" s="12" t="s">
        <v>1945</v>
      </c>
      <c r="E658" s="25"/>
      <c r="F658" s="12" t="s">
        <v>1645</v>
      </c>
      <c r="G658" s="12" t="s">
        <v>2079</v>
      </c>
      <c r="H658" s="25">
        <v>50</v>
      </c>
      <c r="I658" s="29">
        <v>58.25</v>
      </c>
      <c r="J658" s="30">
        <v>2912.5</v>
      </c>
      <c r="K658" s="25" t="s">
        <v>25</v>
      </c>
      <c r="L658" s="36"/>
      <c r="M658" s="25" t="s">
        <v>18</v>
      </c>
    </row>
    <row r="659" spans="2:15" ht="15" customHeight="1" x14ac:dyDescent="0.25">
      <c r="B659" s="11" t="s">
        <v>2080</v>
      </c>
      <c r="C659" s="16">
        <v>45481</v>
      </c>
      <c r="D659" s="12" t="s">
        <v>2081</v>
      </c>
      <c r="E659" s="67"/>
      <c r="F659" s="12" t="s">
        <v>1044</v>
      </c>
      <c r="G659" s="12" t="s">
        <v>2082</v>
      </c>
      <c r="H659" s="67">
        <v>1</v>
      </c>
      <c r="I659" s="71">
        <v>11250</v>
      </c>
      <c r="J659" s="72">
        <v>11250</v>
      </c>
      <c r="K659" s="67" t="s">
        <v>17</v>
      </c>
      <c r="L659" s="73"/>
      <c r="M659" s="67" t="s">
        <v>18</v>
      </c>
    </row>
    <row r="660" spans="2:15" s="15" customFormat="1" ht="15" customHeight="1" x14ac:dyDescent="0.25">
      <c r="B660" s="11" t="s">
        <v>2083</v>
      </c>
      <c r="C660" s="16">
        <v>45481</v>
      </c>
      <c r="D660" s="12" t="s">
        <v>2084</v>
      </c>
      <c r="E660" s="11"/>
      <c r="F660" s="12" t="s">
        <v>2085</v>
      </c>
      <c r="G660" s="12" t="s">
        <v>2086</v>
      </c>
      <c r="H660" s="11">
        <v>2</v>
      </c>
      <c r="I660" s="24"/>
      <c r="J660" s="13">
        <v>560</v>
      </c>
      <c r="K660" s="11" t="s">
        <v>25</v>
      </c>
      <c r="L660" s="19"/>
      <c r="M660" s="11" t="s">
        <v>18</v>
      </c>
    </row>
    <row r="661" spans="2:15" ht="15" customHeight="1" x14ac:dyDescent="0.25">
      <c r="B661" s="11" t="s">
        <v>2087</v>
      </c>
      <c r="C661" s="16">
        <v>45481</v>
      </c>
      <c r="D661" s="12" t="s">
        <v>2088</v>
      </c>
      <c r="E661" s="67"/>
      <c r="F661" s="12" t="s">
        <v>2089</v>
      </c>
      <c r="G661" s="12" t="s">
        <v>2090</v>
      </c>
      <c r="H661" s="67" t="s">
        <v>2091</v>
      </c>
      <c r="I661" s="71">
        <v>22.4</v>
      </c>
      <c r="J661" s="72">
        <v>44800</v>
      </c>
      <c r="K661" s="67" t="s">
        <v>25</v>
      </c>
      <c r="L661" s="73"/>
      <c r="M661" s="67" t="s">
        <v>18</v>
      </c>
    </row>
    <row r="662" spans="2:15" s="15" customFormat="1" ht="15" customHeight="1" x14ac:dyDescent="0.25">
      <c r="B662" s="82" t="s">
        <v>2092</v>
      </c>
      <c r="C662" s="83">
        <v>45496</v>
      </c>
      <c r="D662" s="84" t="s">
        <v>2093</v>
      </c>
      <c r="E662" s="11"/>
      <c r="F662" s="84" t="s">
        <v>2094</v>
      </c>
      <c r="G662" s="31"/>
      <c r="H662" s="11">
        <v>376</v>
      </c>
      <c r="I662" s="24"/>
      <c r="J662" s="85">
        <v>5725</v>
      </c>
      <c r="K662" s="86" t="s">
        <v>2095</v>
      </c>
      <c r="L662" s="19"/>
      <c r="M662" s="82" t="s">
        <v>18</v>
      </c>
      <c r="O662" s="7"/>
    </row>
    <row r="663" spans="2:15" s="15" customFormat="1" ht="15" customHeight="1" x14ac:dyDescent="0.25">
      <c r="B663" s="11" t="s">
        <v>2096</v>
      </c>
      <c r="C663" s="16">
        <v>45482</v>
      </c>
      <c r="D663" s="12" t="s">
        <v>2097</v>
      </c>
      <c r="E663" s="11"/>
      <c r="F663" s="12" t="s">
        <v>66</v>
      </c>
      <c r="G663" s="12" t="s">
        <v>2098</v>
      </c>
      <c r="H663" s="11">
        <v>30</v>
      </c>
      <c r="I663" s="51">
        <v>1195</v>
      </c>
      <c r="J663" s="51">
        <v>1195</v>
      </c>
      <c r="K663" s="11" t="s">
        <v>25</v>
      </c>
      <c r="L663" s="19" t="s">
        <v>2099</v>
      </c>
      <c r="M663" s="11" t="s">
        <v>31</v>
      </c>
    </row>
    <row r="664" spans="2:15" s="15" customFormat="1" ht="15" customHeight="1" x14ac:dyDescent="0.25">
      <c r="B664" s="11" t="s">
        <v>2100</v>
      </c>
      <c r="C664" s="16">
        <v>45482</v>
      </c>
      <c r="D664" s="12" t="s">
        <v>1945</v>
      </c>
      <c r="E664" s="11"/>
      <c r="F664" s="12" t="s">
        <v>2101</v>
      </c>
      <c r="G664" s="12" t="s">
        <v>2102</v>
      </c>
      <c r="H664" s="11">
        <v>2000</v>
      </c>
      <c r="I664" s="42">
        <v>3.488</v>
      </c>
      <c r="J664" s="13">
        <v>6976</v>
      </c>
      <c r="K664" s="11" t="s">
        <v>25</v>
      </c>
      <c r="L664" s="19" t="s">
        <v>1470</v>
      </c>
      <c r="M664" s="11" t="s">
        <v>31</v>
      </c>
    </row>
    <row r="665" spans="2:15" s="15" customFormat="1" ht="15" customHeight="1" x14ac:dyDescent="0.25">
      <c r="B665" s="11" t="s">
        <v>2103</v>
      </c>
      <c r="C665" s="16">
        <v>45488</v>
      </c>
      <c r="D665" s="12" t="s">
        <v>381</v>
      </c>
      <c r="E665" s="11"/>
      <c r="F665" s="12" t="s">
        <v>2104</v>
      </c>
      <c r="G665" s="23" t="s">
        <v>2105</v>
      </c>
      <c r="H665" s="11">
        <v>3200</v>
      </c>
      <c r="I665" s="24"/>
      <c r="J665" s="13">
        <v>14110</v>
      </c>
      <c r="K665" s="11" t="s">
        <v>25</v>
      </c>
      <c r="L665" s="19" t="s">
        <v>1433</v>
      </c>
      <c r="M665" s="11" t="s">
        <v>31</v>
      </c>
    </row>
    <row r="666" spans="2:15" ht="15" customHeight="1" x14ac:dyDescent="0.25">
      <c r="B666" s="11" t="s">
        <v>2106</v>
      </c>
      <c r="C666" s="16">
        <v>45488</v>
      </c>
      <c r="D666" s="12" t="s">
        <v>716</v>
      </c>
      <c r="E666" s="67"/>
      <c r="F666" s="12" t="s">
        <v>2107</v>
      </c>
      <c r="G666" s="12" t="s">
        <v>746</v>
      </c>
      <c r="H666" s="67">
        <v>25</v>
      </c>
      <c r="I666" s="71">
        <v>110</v>
      </c>
      <c r="J666" s="72">
        <v>2750</v>
      </c>
      <c r="K666" s="67" t="s">
        <v>25</v>
      </c>
      <c r="L666" s="73" t="s">
        <v>1426</v>
      </c>
      <c r="M666" s="67" t="s">
        <v>31</v>
      </c>
    </row>
    <row r="667" spans="2:15" ht="15" customHeight="1" x14ac:dyDescent="0.25">
      <c r="B667" s="11" t="s">
        <v>2108</v>
      </c>
      <c r="C667" s="16">
        <v>45496</v>
      </c>
      <c r="D667" t="s">
        <v>2109</v>
      </c>
      <c r="E667" s="67"/>
      <c r="F667" s="12" t="s">
        <v>2110</v>
      </c>
      <c r="G667" s="12" t="s">
        <v>2111</v>
      </c>
      <c r="H667" s="67">
        <v>10</v>
      </c>
      <c r="I667" s="71"/>
      <c r="J667" s="72">
        <v>14775</v>
      </c>
      <c r="K667" s="67" t="s">
        <v>1927</v>
      </c>
      <c r="L667" s="73"/>
      <c r="M667" s="67" t="s">
        <v>18</v>
      </c>
    </row>
    <row r="668" spans="2:15" ht="15" customHeight="1" x14ac:dyDescent="0.25">
      <c r="B668" s="11" t="s">
        <v>2112</v>
      </c>
      <c r="C668" s="16">
        <v>45495</v>
      </c>
      <c r="D668" s="12" t="s">
        <v>1043</v>
      </c>
      <c r="E668" s="67"/>
      <c r="F668" s="12" t="s">
        <v>1044</v>
      </c>
      <c r="G668" t="s">
        <v>2113</v>
      </c>
      <c r="H668" s="67">
        <v>1</v>
      </c>
      <c r="I668" s="71">
        <v>2675</v>
      </c>
      <c r="J668" s="72">
        <v>2675</v>
      </c>
      <c r="K668" s="67" t="s">
        <v>25</v>
      </c>
      <c r="L668" s="73" t="s">
        <v>2114</v>
      </c>
      <c r="M668" s="67" t="s">
        <v>31</v>
      </c>
    </row>
    <row r="669" spans="2:15" s="15" customFormat="1" ht="15" customHeight="1" x14ac:dyDescent="0.25">
      <c r="B669" s="11" t="s">
        <v>2115</v>
      </c>
      <c r="C669" s="16">
        <v>45483</v>
      </c>
      <c r="D669" s="12" t="s">
        <v>1945</v>
      </c>
      <c r="E669" s="11"/>
      <c r="F669" s="12" t="s">
        <v>1072</v>
      </c>
      <c r="G669" s="12" t="s">
        <v>2116</v>
      </c>
      <c r="H669" s="11">
        <v>1000</v>
      </c>
      <c r="I669" s="24">
        <v>2.95</v>
      </c>
      <c r="J669" s="13">
        <v>2950</v>
      </c>
      <c r="K669" s="11" t="s">
        <v>25</v>
      </c>
      <c r="L669" s="19"/>
      <c r="M669" s="11" t="s">
        <v>18</v>
      </c>
    </row>
    <row r="670" spans="2:15" s="15" customFormat="1" ht="15" customHeight="1" x14ac:dyDescent="0.25">
      <c r="B670" s="11" t="s">
        <v>2117</v>
      </c>
      <c r="C670" s="16">
        <v>45483</v>
      </c>
      <c r="D670" s="12" t="s">
        <v>1302</v>
      </c>
      <c r="E670" s="11"/>
      <c r="F670" s="12" t="s">
        <v>22</v>
      </c>
      <c r="G670" s="12" t="s">
        <v>735</v>
      </c>
      <c r="H670" s="67" t="s">
        <v>1940</v>
      </c>
      <c r="I670" s="24">
        <v>135</v>
      </c>
      <c r="J670" s="13">
        <v>135</v>
      </c>
      <c r="K670" s="11" t="s">
        <v>25</v>
      </c>
      <c r="L670" s="19" t="s">
        <v>1402</v>
      </c>
      <c r="M670" s="11" t="s">
        <v>31</v>
      </c>
    </row>
    <row r="671" spans="2:15" s="15" customFormat="1" ht="15" customHeight="1" x14ac:dyDescent="0.25">
      <c r="B671" s="11" t="s">
        <v>2118</v>
      </c>
      <c r="C671" s="16">
        <v>45483</v>
      </c>
      <c r="D671" s="12" t="s">
        <v>2119</v>
      </c>
      <c r="E671" s="11"/>
      <c r="F671" s="12" t="s">
        <v>2120</v>
      </c>
      <c r="G671" s="12" t="s">
        <v>2121</v>
      </c>
      <c r="H671" s="11">
        <v>1</v>
      </c>
      <c r="I671" s="24">
        <v>625</v>
      </c>
      <c r="J671" s="24">
        <v>625</v>
      </c>
      <c r="K671" s="11" t="s">
        <v>25</v>
      </c>
      <c r="L671" s="19" t="s">
        <v>1406</v>
      </c>
      <c r="M671" s="11" t="s">
        <v>31</v>
      </c>
    </row>
    <row r="672" spans="2:15" s="15" customFormat="1" ht="15" customHeight="1" x14ac:dyDescent="0.25">
      <c r="B672" s="11" t="s">
        <v>2122</v>
      </c>
      <c r="C672" s="16">
        <v>45483</v>
      </c>
      <c r="D672" s="12" t="s">
        <v>2123</v>
      </c>
      <c r="E672" s="11"/>
      <c r="F672" s="12" t="s">
        <v>2124</v>
      </c>
      <c r="G672" s="23" t="s">
        <v>2125</v>
      </c>
      <c r="H672" s="11">
        <v>4500</v>
      </c>
      <c r="I672" s="24"/>
      <c r="J672" s="13">
        <v>21675</v>
      </c>
      <c r="K672" s="11" t="s">
        <v>17</v>
      </c>
      <c r="L672" s="19"/>
      <c r="M672" s="11" t="s">
        <v>18</v>
      </c>
    </row>
    <row r="673" spans="2:13" ht="15" customHeight="1" x14ac:dyDescent="0.25">
      <c r="B673" s="11" t="s">
        <v>2126</v>
      </c>
      <c r="C673" s="16">
        <v>45483</v>
      </c>
      <c r="D673" s="12" t="s">
        <v>2097</v>
      </c>
      <c r="E673" s="67"/>
      <c r="F673" s="12" t="s">
        <v>2127</v>
      </c>
      <c r="G673" s="12" t="s">
        <v>2128</v>
      </c>
      <c r="H673" s="67">
        <v>300</v>
      </c>
      <c r="I673" s="71">
        <v>2.25</v>
      </c>
      <c r="J673" s="72">
        <v>675</v>
      </c>
      <c r="K673" s="11" t="s">
        <v>17</v>
      </c>
      <c r="L673" s="73"/>
      <c r="M673" s="67" t="s">
        <v>18</v>
      </c>
    </row>
    <row r="674" spans="2:13" ht="15" customHeight="1" x14ac:dyDescent="0.25">
      <c r="B674" s="11" t="s">
        <v>2129</v>
      </c>
      <c r="C674" s="16">
        <v>45484</v>
      </c>
      <c r="D674" s="12" t="s">
        <v>1175</v>
      </c>
      <c r="E674" s="67"/>
      <c r="F674" s="12" t="s">
        <v>171</v>
      </c>
      <c r="G674" s="12" t="s">
        <v>728</v>
      </c>
      <c r="H674" s="67">
        <v>106</v>
      </c>
      <c r="I674" s="87">
        <v>65.099999999999994</v>
      </c>
      <c r="J674" s="72">
        <v>6900</v>
      </c>
      <c r="K674" s="67" t="s">
        <v>25</v>
      </c>
      <c r="L674" s="73"/>
      <c r="M674" s="67" t="s">
        <v>18</v>
      </c>
    </row>
    <row r="675" spans="2:13" ht="15" customHeight="1" x14ac:dyDescent="0.25">
      <c r="B675" s="11" t="s">
        <v>2130</v>
      </c>
      <c r="C675" s="16">
        <v>45484</v>
      </c>
      <c r="D675" s="12" t="s">
        <v>2131</v>
      </c>
      <c r="E675" s="67"/>
      <c r="F675" s="12" t="s">
        <v>2132</v>
      </c>
      <c r="G675" s="12" t="s">
        <v>1865</v>
      </c>
      <c r="H675" s="67">
        <v>15</v>
      </c>
      <c r="I675" s="71">
        <v>65</v>
      </c>
      <c r="J675" s="72">
        <v>975</v>
      </c>
      <c r="K675" s="67" t="s">
        <v>17</v>
      </c>
      <c r="L675" s="73"/>
      <c r="M675" s="67" t="s">
        <v>18</v>
      </c>
    </row>
    <row r="676" spans="2:13" s="15" customFormat="1" ht="15" customHeight="1" x14ac:dyDescent="0.25">
      <c r="B676" s="11" t="s">
        <v>2133</v>
      </c>
      <c r="C676" s="16">
        <v>45484</v>
      </c>
      <c r="D676" s="12" t="s">
        <v>2134</v>
      </c>
      <c r="E676" s="11"/>
      <c r="F676" s="12" t="s">
        <v>2135</v>
      </c>
      <c r="G676" s="12" t="s">
        <v>2136</v>
      </c>
      <c r="H676" s="11">
        <v>102</v>
      </c>
      <c r="I676" s="24"/>
      <c r="J676" s="13">
        <v>640</v>
      </c>
      <c r="K676" s="11" t="s">
        <v>1927</v>
      </c>
      <c r="L676" s="19"/>
      <c r="M676" s="11" t="s">
        <v>18</v>
      </c>
    </row>
    <row r="677" spans="2:13" s="15" customFormat="1" ht="15" customHeight="1" x14ac:dyDescent="0.25">
      <c r="B677" s="11" t="s">
        <v>2137</v>
      </c>
      <c r="C677" s="16">
        <v>45484</v>
      </c>
      <c r="D677" s="12" t="s">
        <v>574</v>
      </c>
      <c r="E677" s="11"/>
      <c r="F677" s="31" t="s">
        <v>2138</v>
      </c>
      <c r="G677" s="12" t="s">
        <v>2139</v>
      </c>
      <c r="H677" s="11">
        <v>44</v>
      </c>
      <c r="I677" s="24"/>
      <c r="J677" s="13">
        <v>6197.75</v>
      </c>
      <c r="K677" s="11" t="s">
        <v>17</v>
      </c>
      <c r="L677" s="19"/>
      <c r="M677" s="11" t="s">
        <v>18</v>
      </c>
    </row>
    <row r="678" spans="2:13" s="15" customFormat="1" ht="15" customHeight="1" x14ac:dyDescent="0.25">
      <c r="B678" s="11" t="s">
        <v>2140</v>
      </c>
      <c r="C678" s="16">
        <v>45484</v>
      </c>
      <c r="D678" s="12" t="s">
        <v>27</v>
      </c>
      <c r="E678" s="11"/>
      <c r="F678" s="12" t="s">
        <v>511</v>
      </c>
      <c r="G678" s="12" t="s">
        <v>512</v>
      </c>
      <c r="H678" s="67" t="s">
        <v>1081</v>
      </c>
      <c r="I678" s="24">
        <v>275</v>
      </c>
      <c r="J678" s="13">
        <v>275</v>
      </c>
      <c r="K678" s="11" t="s">
        <v>17</v>
      </c>
      <c r="L678" s="19" t="s">
        <v>1388</v>
      </c>
      <c r="M678" s="11" t="s">
        <v>31</v>
      </c>
    </row>
    <row r="679" spans="2:13" s="15" customFormat="1" ht="15" customHeight="1" x14ac:dyDescent="0.25">
      <c r="B679" s="11" t="s">
        <v>2141</v>
      </c>
      <c r="C679" s="16">
        <v>45484</v>
      </c>
      <c r="D679" s="12" t="s">
        <v>2142</v>
      </c>
      <c r="E679" s="11"/>
      <c r="F679" s="23" t="s">
        <v>2143</v>
      </c>
      <c r="G679" s="23">
        <v>2</v>
      </c>
      <c r="H679" s="11">
        <v>2</v>
      </c>
      <c r="I679" s="24"/>
      <c r="J679" s="13">
        <v>3020</v>
      </c>
      <c r="K679" s="11" t="s">
        <v>1649</v>
      </c>
      <c r="L679" s="19"/>
      <c r="M679" s="11" t="s">
        <v>18</v>
      </c>
    </row>
    <row r="680" spans="2:13" ht="15" customHeight="1" x14ac:dyDescent="0.25">
      <c r="B680" s="11" t="s">
        <v>2144</v>
      </c>
      <c r="C680" s="16">
        <v>45484</v>
      </c>
      <c r="D680" s="12" t="s">
        <v>2142</v>
      </c>
      <c r="E680" s="67"/>
      <c r="F680" s="12" t="s">
        <v>2145</v>
      </c>
      <c r="G680" s="12" t="s">
        <v>2146</v>
      </c>
      <c r="H680" s="67">
        <v>20</v>
      </c>
      <c r="I680" s="71">
        <v>155</v>
      </c>
      <c r="J680" s="72">
        <v>3100</v>
      </c>
      <c r="K680" s="67" t="s">
        <v>1649</v>
      </c>
      <c r="L680" s="73"/>
      <c r="M680" s="67" t="s">
        <v>18</v>
      </c>
    </row>
    <row r="681" spans="2:13" ht="15" customHeight="1" x14ac:dyDescent="0.25">
      <c r="B681" s="11" t="s">
        <v>2147</v>
      </c>
      <c r="C681" s="16">
        <v>45484</v>
      </c>
      <c r="D681" s="12" t="s">
        <v>2142</v>
      </c>
      <c r="E681" s="67"/>
      <c r="F681" s="12" t="s">
        <v>2148</v>
      </c>
      <c r="G681" s="12" t="s">
        <v>2149</v>
      </c>
      <c r="H681" s="67">
        <v>2</v>
      </c>
      <c r="I681" s="71">
        <v>265</v>
      </c>
      <c r="J681" s="72">
        <v>530</v>
      </c>
      <c r="K681" s="67" t="s">
        <v>1649</v>
      </c>
      <c r="L681" s="73"/>
      <c r="M681" s="67" t="s">
        <v>18</v>
      </c>
    </row>
    <row r="682" spans="2:13" s="15" customFormat="1" ht="15" customHeight="1" x14ac:dyDescent="0.25">
      <c r="B682" s="11" t="s">
        <v>2150</v>
      </c>
      <c r="C682" s="16">
        <v>45491</v>
      </c>
      <c r="D682" s="12" t="s">
        <v>2151</v>
      </c>
      <c r="E682" s="11"/>
      <c r="F682" s="12" t="s">
        <v>2152</v>
      </c>
      <c r="G682" s="12" t="s">
        <v>2098</v>
      </c>
      <c r="H682" s="11">
        <v>110</v>
      </c>
      <c r="I682" s="24"/>
      <c r="J682" s="13">
        <v>4020</v>
      </c>
      <c r="K682" s="11" t="s">
        <v>1649</v>
      </c>
      <c r="L682" s="19"/>
      <c r="M682" s="11" t="s">
        <v>18</v>
      </c>
    </row>
    <row r="683" spans="2:13" ht="15" customHeight="1" x14ac:dyDescent="0.25">
      <c r="B683" s="11" t="s">
        <v>2153</v>
      </c>
      <c r="C683" s="16">
        <v>45485</v>
      </c>
      <c r="D683" s="12" t="s">
        <v>1392</v>
      </c>
      <c r="E683" s="67"/>
      <c r="F683" s="12" t="s">
        <v>233</v>
      </c>
      <c r="G683" s="12" t="s">
        <v>2154</v>
      </c>
      <c r="H683" s="12" t="s">
        <v>2155</v>
      </c>
      <c r="I683" s="12" t="s">
        <v>2156</v>
      </c>
      <c r="J683" s="72">
        <v>287.5</v>
      </c>
      <c r="K683" s="67" t="s">
        <v>25</v>
      </c>
      <c r="L683" s="73" t="s">
        <v>1420</v>
      </c>
      <c r="M683" s="67" t="s">
        <v>31</v>
      </c>
    </row>
    <row r="684" spans="2:13" ht="15" customHeight="1" x14ac:dyDescent="0.25">
      <c r="B684" s="11" t="s">
        <v>2157</v>
      </c>
      <c r="C684" s="16">
        <v>45485</v>
      </c>
      <c r="D684" s="12" t="s">
        <v>305</v>
      </c>
      <c r="E684" s="67"/>
      <c r="F684" s="12" t="s">
        <v>233</v>
      </c>
      <c r="G684" s="12" t="s">
        <v>2154</v>
      </c>
      <c r="H684" s="12" t="s">
        <v>2155</v>
      </c>
      <c r="I684" s="12" t="s">
        <v>2156</v>
      </c>
      <c r="J684" s="72">
        <v>287.5</v>
      </c>
      <c r="K684" s="67" t="s">
        <v>25</v>
      </c>
      <c r="L684" s="73" t="s">
        <v>1417</v>
      </c>
      <c r="M684" s="67" t="s">
        <v>31</v>
      </c>
    </row>
    <row r="685" spans="2:13" ht="15" customHeight="1" x14ac:dyDescent="0.25">
      <c r="B685" s="11" t="s">
        <v>2158</v>
      </c>
      <c r="C685" s="16">
        <v>45485</v>
      </c>
      <c r="D685" s="12" t="s">
        <v>2159</v>
      </c>
      <c r="E685" s="67"/>
      <c r="F685" s="12" t="s">
        <v>2160</v>
      </c>
      <c r="G685" s="12" t="s">
        <v>2161</v>
      </c>
      <c r="H685" s="67">
        <v>1950</v>
      </c>
      <c r="I685" s="71"/>
      <c r="J685" s="72">
        <v>135232.5</v>
      </c>
      <c r="K685" s="67" t="s">
        <v>1649</v>
      </c>
      <c r="L685" s="73"/>
      <c r="M685" s="67" t="s">
        <v>18</v>
      </c>
    </row>
    <row r="686" spans="2:13" ht="15" customHeight="1" x14ac:dyDescent="0.25">
      <c r="B686" s="11" t="s">
        <v>2162</v>
      </c>
      <c r="C686" s="16">
        <v>45485</v>
      </c>
      <c r="D686" s="12" t="s">
        <v>2163</v>
      </c>
      <c r="E686" s="67"/>
      <c r="F686" s="12" t="s">
        <v>2164</v>
      </c>
      <c r="G686" s="12" t="s">
        <v>2165</v>
      </c>
      <c r="H686" s="67">
        <v>25</v>
      </c>
      <c r="I686" s="71">
        <v>125.75</v>
      </c>
      <c r="J686" s="72">
        <v>3143.75</v>
      </c>
      <c r="K686" s="67" t="s">
        <v>1649</v>
      </c>
      <c r="L686" s="73"/>
      <c r="M686" s="67" t="s">
        <v>18</v>
      </c>
    </row>
    <row r="687" spans="2:13" ht="15" customHeight="1" x14ac:dyDescent="0.25">
      <c r="B687" s="11" t="s">
        <v>2166</v>
      </c>
      <c r="C687" s="16">
        <v>45485</v>
      </c>
      <c r="D687" s="12" t="s">
        <v>2167</v>
      </c>
      <c r="E687" s="67"/>
      <c r="F687" s="12" t="s">
        <v>2168</v>
      </c>
      <c r="G687" s="12" t="s">
        <v>2169</v>
      </c>
      <c r="H687" s="67">
        <v>20</v>
      </c>
      <c r="I687" s="71">
        <v>29.75</v>
      </c>
      <c r="J687" s="72">
        <v>595</v>
      </c>
      <c r="K687" s="67" t="s">
        <v>25</v>
      </c>
      <c r="L687" s="73"/>
      <c r="M687" s="67" t="s">
        <v>18</v>
      </c>
    </row>
    <row r="688" spans="2:13" ht="15" customHeight="1" x14ac:dyDescent="0.25">
      <c r="B688" s="11" t="s">
        <v>2170</v>
      </c>
      <c r="C688" s="21">
        <v>45485</v>
      </c>
      <c r="D688" s="12" t="s">
        <v>1060</v>
      </c>
      <c r="E688" s="67"/>
      <c r="F688" s="12" t="s">
        <v>1257</v>
      </c>
      <c r="G688" s="12" t="s">
        <v>2171</v>
      </c>
      <c r="H688" s="67">
        <v>9</v>
      </c>
      <c r="I688" s="71"/>
      <c r="J688" s="72">
        <v>222</v>
      </c>
      <c r="K688" s="67" t="s">
        <v>17</v>
      </c>
      <c r="L688" s="73" t="s">
        <v>1447</v>
      </c>
      <c r="M688" s="88" t="s">
        <v>31</v>
      </c>
    </row>
    <row r="689" spans="2:13" ht="15" customHeight="1" x14ac:dyDescent="0.25">
      <c r="B689" s="11" t="s">
        <v>2172</v>
      </c>
      <c r="C689" s="89">
        <v>45488</v>
      </c>
      <c r="D689" s="12" t="s">
        <v>130</v>
      </c>
      <c r="E689" s="67"/>
      <c r="F689" s="12" t="s">
        <v>197</v>
      </c>
      <c r="G689" s="12" t="s">
        <v>264</v>
      </c>
      <c r="H689" s="12" t="s">
        <v>2173</v>
      </c>
      <c r="I689" s="12">
        <v>190</v>
      </c>
      <c r="J689" s="72">
        <v>760</v>
      </c>
      <c r="K689" s="67" t="s">
        <v>17</v>
      </c>
      <c r="L689" s="73" t="s">
        <v>1504</v>
      </c>
      <c r="M689" s="67" t="s">
        <v>31</v>
      </c>
    </row>
    <row r="690" spans="2:13" ht="15" customHeight="1" x14ac:dyDescent="0.25">
      <c r="B690" s="11" t="s">
        <v>2174</v>
      </c>
      <c r="C690" s="89">
        <v>45488</v>
      </c>
      <c r="D690" s="12" t="s">
        <v>150</v>
      </c>
      <c r="E690" s="67"/>
      <c r="F690" s="12" t="s">
        <v>2175</v>
      </c>
      <c r="G690" s="12" t="s">
        <v>2176</v>
      </c>
      <c r="H690" s="67">
        <v>10</v>
      </c>
      <c r="I690" s="71">
        <v>1858</v>
      </c>
      <c r="J690" s="72">
        <v>18580</v>
      </c>
      <c r="K690" s="67" t="s">
        <v>17</v>
      </c>
      <c r="L690" s="73"/>
      <c r="M690" s="67" t="s">
        <v>18</v>
      </c>
    </row>
    <row r="691" spans="2:13" s="15" customFormat="1" ht="15" customHeight="1" x14ac:dyDescent="0.25">
      <c r="B691" s="11" t="s">
        <v>2177</v>
      </c>
      <c r="C691" s="89">
        <v>45488</v>
      </c>
      <c r="D691" s="12" t="s">
        <v>2178</v>
      </c>
      <c r="E691" s="11"/>
      <c r="F691" s="23" t="s">
        <v>2179</v>
      </c>
      <c r="G691" s="23" t="s">
        <v>2180</v>
      </c>
      <c r="H691" s="11">
        <v>2</v>
      </c>
      <c r="I691" s="24"/>
      <c r="J691" s="13">
        <v>7550</v>
      </c>
      <c r="K691" s="11" t="s">
        <v>25</v>
      </c>
      <c r="L691" s="19"/>
      <c r="M691" s="11" t="s">
        <v>18</v>
      </c>
    </row>
    <row r="692" spans="2:13" ht="15" customHeight="1" x14ac:dyDescent="0.25">
      <c r="B692" s="11" t="s">
        <v>2181</v>
      </c>
      <c r="C692" s="89">
        <v>45489</v>
      </c>
      <c r="D692" s="12" t="s">
        <v>221</v>
      </c>
      <c r="E692" s="67"/>
      <c r="F692" s="12" t="s">
        <v>2182</v>
      </c>
      <c r="G692" s="12" t="s">
        <v>2183</v>
      </c>
      <c r="H692" s="67">
        <v>200</v>
      </c>
      <c r="I692" s="71"/>
      <c r="J692" s="72">
        <v>1395</v>
      </c>
      <c r="K692" s="67" t="s">
        <v>17</v>
      </c>
      <c r="L692" s="73" t="s">
        <v>2184</v>
      </c>
      <c r="M692" s="67" t="s">
        <v>31</v>
      </c>
    </row>
    <row r="693" spans="2:13" ht="15" customHeight="1" x14ac:dyDescent="0.25">
      <c r="B693" s="11" t="s">
        <v>2185</v>
      </c>
      <c r="C693" s="89">
        <v>45488</v>
      </c>
      <c r="D693" s="12" t="s">
        <v>1872</v>
      </c>
      <c r="E693" s="67"/>
      <c r="F693" s="12" t="s">
        <v>2186</v>
      </c>
      <c r="G693" s="12" t="s">
        <v>493</v>
      </c>
      <c r="H693" s="67">
        <v>50</v>
      </c>
      <c r="I693" s="71">
        <v>13.75</v>
      </c>
      <c r="J693" s="72">
        <v>687.5</v>
      </c>
      <c r="K693" s="67" t="s">
        <v>1874</v>
      </c>
      <c r="L693" s="73"/>
      <c r="M693" s="67" t="s">
        <v>31</v>
      </c>
    </row>
    <row r="694" spans="2:13" ht="15" customHeight="1" x14ac:dyDescent="0.25">
      <c r="B694" s="11" t="s">
        <v>2187</v>
      </c>
      <c r="C694" s="89">
        <v>45488</v>
      </c>
      <c r="D694" s="12" t="s">
        <v>574</v>
      </c>
      <c r="E694" s="67"/>
      <c r="F694" s="12" t="s">
        <v>2188</v>
      </c>
      <c r="G694" s="12" t="s">
        <v>636</v>
      </c>
      <c r="H694" s="67">
        <v>1</v>
      </c>
      <c r="I694" s="71">
        <v>200</v>
      </c>
      <c r="J694" s="72">
        <v>200</v>
      </c>
      <c r="K694" s="67" t="s">
        <v>17</v>
      </c>
      <c r="L694" s="73" t="s">
        <v>1466</v>
      </c>
      <c r="M694" s="67" t="s">
        <v>31</v>
      </c>
    </row>
    <row r="695" spans="2:13" ht="15" customHeight="1" x14ac:dyDescent="0.25">
      <c r="B695" s="11" t="s">
        <v>2189</v>
      </c>
      <c r="C695" s="89">
        <v>45488</v>
      </c>
      <c r="D695" s="12" t="s">
        <v>2190</v>
      </c>
      <c r="E695" s="67"/>
      <c r="F695" s="12" t="s">
        <v>2191</v>
      </c>
      <c r="G695" s="12" t="s">
        <v>2192</v>
      </c>
      <c r="H695" s="67">
        <v>24</v>
      </c>
      <c r="I695" s="71"/>
      <c r="J695" s="72">
        <v>2554</v>
      </c>
      <c r="K695" s="67" t="s">
        <v>17</v>
      </c>
      <c r="L695" s="73"/>
      <c r="M695" s="67" t="s">
        <v>18</v>
      </c>
    </row>
    <row r="696" spans="2:13" ht="15" customHeight="1" x14ac:dyDescent="0.25">
      <c r="B696" s="11" t="s">
        <v>2193</v>
      </c>
      <c r="C696" s="89">
        <v>45488</v>
      </c>
      <c r="D696" s="12" t="s">
        <v>2194</v>
      </c>
      <c r="E696" s="67"/>
      <c r="F696" s="12" t="s">
        <v>2195</v>
      </c>
      <c r="G696" s="12" t="s">
        <v>771</v>
      </c>
      <c r="H696" s="67">
        <v>100</v>
      </c>
      <c r="I696" s="71">
        <v>10.95</v>
      </c>
      <c r="J696" s="72">
        <v>1095</v>
      </c>
      <c r="K696" s="67" t="s">
        <v>1927</v>
      </c>
      <c r="L696" s="73"/>
      <c r="M696" s="67" t="s">
        <v>18</v>
      </c>
    </row>
    <row r="697" spans="2:13" ht="15" customHeight="1" x14ac:dyDescent="0.25">
      <c r="B697" s="11" t="s">
        <v>2196</v>
      </c>
      <c r="C697" s="89">
        <v>45488</v>
      </c>
      <c r="D697" s="12" t="s">
        <v>241</v>
      </c>
      <c r="E697" s="67"/>
      <c r="F697" s="12" t="s">
        <v>2197</v>
      </c>
      <c r="G697" s="12" t="s">
        <v>1477</v>
      </c>
      <c r="H697" s="67">
        <v>26</v>
      </c>
      <c r="I697" s="71">
        <v>24</v>
      </c>
      <c r="J697" s="72">
        <v>624</v>
      </c>
      <c r="K697" s="67" t="s">
        <v>17</v>
      </c>
      <c r="L697" s="73" t="s">
        <v>1436</v>
      </c>
      <c r="M697" s="67" t="s">
        <v>31</v>
      </c>
    </row>
    <row r="698" spans="2:13" ht="15" customHeight="1" x14ac:dyDescent="0.25">
      <c r="B698" s="11" t="s">
        <v>2198</v>
      </c>
      <c r="C698" s="89">
        <v>45489</v>
      </c>
      <c r="D698" s="12" t="s">
        <v>2199</v>
      </c>
      <c r="E698" s="67"/>
      <c r="F698" s="12" t="s">
        <v>2200</v>
      </c>
      <c r="G698" s="12" t="s">
        <v>2201</v>
      </c>
      <c r="H698" s="67">
        <v>200</v>
      </c>
      <c r="I698" s="71"/>
      <c r="J698" s="72">
        <v>76751.8</v>
      </c>
      <c r="K698" s="90" t="s">
        <v>1649</v>
      </c>
      <c r="L698" s="73"/>
      <c r="M698" s="67" t="s">
        <v>18</v>
      </c>
    </row>
    <row r="699" spans="2:13" s="15" customFormat="1" ht="15" customHeight="1" x14ac:dyDescent="0.25">
      <c r="B699" s="11" t="s">
        <v>2202</v>
      </c>
      <c r="C699" s="89">
        <v>45489</v>
      </c>
      <c r="D699" s="12" t="s">
        <v>463</v>
      </c>
      <c r="E699" s="11"/>
      <c r="F699" s="12" t="s">
        <v>22</v>
      </c>
      <c r="G699" s="12" t="s">
        <v>2203</v>
      </c>
      <c r="H699" s="11">
        <v>800</v>
      </c>
      <c r="I699" s="24">
        <v>0.85</v>
      </c>
      <c r="J699" s="13">
        <v>680</v>
      </c>
      <c r="K699" s="11" t="s">
        <v>17</v>
      </c>
      <c r="L699" s="19"/>
      <c r="M699" s="11" t="s">
        <v>31</v>
      </c>
    </row>
    <row r="700" spans="2:13" ht="15" customHeight="1" x14ac:dyDescent="0.25">
      <c r="B700" s="11" t="s">
        <v>2204</v>
      </c>
      <c r="C700" s="89">
        <v>45489</v>
      </c>
      <c r="D700" s="12" t="s">
        <v>2012</v>
      </c>
      <c r="E700" s="67"/>
      <c r="F700" s="12" t="s">
        <v>2205</v>
      </c>
      <c r="G700" s="12" t="s">
        <v>2206</v>
      </c>
      <c r="H700" s="67">
        <v>25</v>
      </c>
      <c r="I700" s="71">
        <v>19.75</v>
      </c>
      <c r="J700" s="72">
        <v>493.75</v>
      </c>
      <c r="K700" s="67" t="s">
        <v>25</v>
      </c>
      <c r="L700" s="73"/>
      <c r="M700" s="67" t="s">
        <v>18</v>
      </c>
    </row>
    <row r="701" spans="2:13" ht="15" customHeight="1" x14ac:dyDescent="0.25">
      <c r="B701" s="11" t="s">
        <v>2207</v>
      </c>
      <c r="C701" s="89">
        <v>45489</v>
      </c>
      <c r="D701" s="12" t="s">
        <v>880</v>
      </c>
      <c r="E701" s="67"/>
      <c r="F701" s="12" t="s">
        <v>2208</v>
      </c>
      <c r="G701" s="12" t="s">
        <v>2209</v>
      </c>
      <c r="H701" s="67">
        <v>10</v>
      </c>
      <c r="I701" s="71">
        <v>67.5</v>
      </c>
      <c r="J701" s="72">
        <v>675</v>
      </c>
      <c r="K701" s="67" t="s">
        <v>1874</v>
      </c>
      <c r="L701" s="73"/>
      <c r="M701" s="67" t="s">
        <v>18</v>
      </c>
    </row>
    <row r="702" spans="2:13" s="15" customFormat="1" ht="15" customHeight="1" x14ac:dyDescent="0.25">
      <c r="B702" s="11" t="s">
        <v>2210</v>
      </c>
      <c r="C702" s="89">
        <v>45489</v>
      </c>
      <c r="D702" s="12" t="s">
        <v>574</v>
      </c>
      <c r="E702" s="11"/>
      <c r="F702" s="12" t="s">
        <v>2211</v>
      </c>
      <c r="G702" s="12" t="s">
        <v>2212</v>
      </c>
      <c r="H702" s="11">
        <v>2</v>
      </c>
      <c r="I702" s="24"/>
      <c r="J702" s="13">
        <v>3740</v>
      </c>
      <c r="K702" s="11" t="s">
        <v>17</v>
      </c>
      <c r="L702" s="19"/>
      <c r="M702" s="11" t="s">
        <v>31</v>
      </c>
    </row>
    <row r="703" spans="2:13" s="15" customFormat="1" ht="15" customHeight="1" x14ac:dyDescent="0.25">
      <c r="B703" s="11" t="s">
        <v>2213</v>
      </c>
      <c r="C703" s="89">
        <v>45492</v>
      </c>
      <c r="D703" s="12" t="s">
        <v>1945</v>
      </c>
      <c r="E703" s="11"/>
      <c r="F703" s="12" t="s">
        <v>2214</v>
      </c>
      <c r="G703" s="12" t="s">
        <v>2215</v>
      </c>
      <c r="H703" s="11">
        <v>2000</v>
      </c>
      <c r="I703" s="24">
        <v>9.85</v>
      </c>
      <c r="J703" s="13">
        <v>19700</v>
      </c>
      <c r="K703" s="11" t="s">
        <v>17</v>
      </c>
      <c r="L703" s="19"/>
      <c r="M703" s="11" t="s">
        <v>18</v>
      </c>
    </row>
    <row r="704" spans="2:13" ht="15" customHeight="1" x14ac:dyDescent="0.25">
      <c r="B704" s="11" t="s">
        <v>2216</v>
      </c>
      <c r="C704" s="89">
        <v>45499</v>
      </c>
      <c r="D704" s="12" t="s">
        <v>463</v>
      </c>
      <c r="E704" s="67"/>
      <c r="F704" s="12" t="s">
        <v>2217</v>
      </c>
      <c r="G704" s="12" t="s">
        <v>2218</v>
      </c>
      <c r="H704" s="67">
        <v>50</v>
      </c>
      <c r="I704" s="71">
        <v>82.25</v>
      </c>
      <c r="J704" s="72">
        <v>7565</v>
      </c>
      <c r="K704" s="67" t="s">
        <v>17</v>
      </c>
      <c r="L704" s="73"/>
      <c r="M704" s="67" t="s">
        <v>31</v>
      </c>
    </row>
    <row r="705" spans="2:15" ht="15" customHeight="1" x14ac:dyDescent="0.25">
      <c r="B705" s="11" t="s">
        <v>2219</v>
      </c>
      <c r="C705" s="89">
        <v>45493</v>
      </c>
      <c r="D705" s="12" t="s">
        <v>463</v>
      </c>
      <c r="E705" s="67"/>
      <c r="F705" s="12" t="s">
        <v>2220</v>
      </c>
      <c r="G705" s="12" t="s">
        <v>771</v>
      </c>
      <c r="H705" s="67">
        <v>350</v>
      </c>
      <c r="I705" s="71"/>
      <c r="J705" s="72">
        <v>6615</v>
      </c>
      <c r="K705" s="67" t="s">
        <v>17</v>
      </c>
      <c r="L705" s="73"/>
      <c r="M705" s="67" t="s">
        <v>18</v>
      </c>
    </row>
    <row r="706" spans="2:15" ht="15" customHeight="1" x14ac:dyDescent="0.25">
      <c r="B706" s="11" t="s">
        <v>2221</v>
      </c>
      <c r="C706" s="89">
        <v>45491</v>
      </c>
      <c r="D706" s="12" t="s">
        <v>2222</v>
      </c>
      <c r="E706" s="67"/>
      <c r="F706" s="12" t="s">
        <v>2223</v>
      </c>
      <c r="G706" s="12" t="s">
        <v>2224</v>
      </c>
      <c r="H706" s="67">
        <v>1000</v>
      </c>
      <c r="I706" s="71"/>
      <c r="J706" s="72">
        <v>34150</v>
      </c>
      <c r="K706" s="67" t="s">
        <v>25</v>
      </c>
      <c r="L706" s="73"/>
      <c r="M706" s="67" t="s">
        <v>18</v>
      </c>
    </row>
    <row r="707" spans="2:15" ht="15" customHeight="1" x14ac:dyDescent="0.25">
      <c r="B707" s="11" t="s">
        <v>2225</v>
      </c>
      <c r="C707" s="89">
        <v>45491</v>
      </c>
      <c r="D707" s="12" t="s">
        <v>2226</v>
      </c>
      <c r="E707" s="67"/>
      <c r="F707" s="12" t="s">
        <v>2168</v>
      </c>
      <c r="G707" s="12" t="s">
        <v>2227</v>
      </c>
      <c r="H707" s="67">
        <v>40</v>
      </c>
      <c r="I707" s="71">
        <v>53.75</v>
      </c>
      <c r="J707" s="72">
        <v>2150</v>
      </c>
      <c r="K707" s="67" t="s">
        <v>1649</v>
      </c>
      <c r="L707" s="73"/>
      <c r="M707" s="67" t="s">
        <v>18</v>
      </c>
    </row>
    <row r="708" spans="2:15" ht="15" customHeight="1" x14ac:dyDescent="0.25">
      <c r="B708" s="11" t="s">
        <v>2228</v>
      </c>
      <c r="C708" s="89">
        <v>45491</v>
      </c>
      <c r="D708" s="91" t="s">
        <v>2229</v>
      </c>
      <c r="E708" s="67"/>
      <c r="F708" s="12" t="s">
        <v>2230</v>
      </c>
      <c r="G708" s="12" t="s">
        <v>2231</v>
      </c>
      <c r="H708" s="67">
        <v>80</v>
      </c>
      <c r="I708" s="87"/>
      <c r="J708" s="72">
        <v>5246.8</v>
      </c>
      <c r="K708" s="67" t="s">
        <v>1649</v>
      </c>
      <c r="L708" s="73"/>
      <c r="M708" s="67" t="s">
        <v>18</v>
      </c>
    </row>
    <row r="709" spans="2:15" ht="15" customHeight="1" x14ac:dyDescent="0.25">
      <c r="B709" s="11" t="s">
        <v>2232</v>
      </c>
      <c r="C709" s="89">
        <v>45498</v>
      </c>
      <c r="D709" s="12" t="s">
        <v>2233</v>
      </c>
      <c r="E709" s="67"/>
      <c r="F709" s="12" t="s">
        <v>2234</v>
      </c>
      <c r="G709" s="12" t="s">
        <v>2235</v>
      </c>
      <c r="H709" s="67">
        <v>4</v>
      </c>
      <c r="I709" s="71"/>
      <c r="J709" s="74">
        <v>3410</v>
      </c>
      <c r="K709" s="67" t="s">
        <v>17</v>
      </c>
      <c r="L709" s="73"/>
      <c r="M709" s="67" t="s">
        <v>31</v>
      </c>
      <c r="O709" s="7"/>
    </row>
    <row r="710" spans="2:15" ht="15" customHeight="1" x14ac:dyDescent="0.25">
      <c r="B710" s="11" t="s">
        <v>2236</v>
      </c>
      <c r="C710" s="89">
        <v>45491</v>
      </c>
      <c r="D710" t="s">
        <v>2237</v>
      </c>
      <c r="E710" s="88"/>
      <c r="F710" t="s">
        <v>2238</v>
      </c>
      <c r="G710" t="s">
        <v>2239</v>
      </c>
      <c r="H710" s="88">
        <v>50</v>
      </c>
      <c r="I710" s="92">
        <v>84.75</v>
      </c>
      <c r="J710" s="93">
        <v>4237.5</v>
      </c>
      <c r="K710" s="88" t="s">
        <v>17</v>
      </c>
      <c r="L710" s="94"/>
      <c r="M710" s="67" t="s">
        <v>18</v>
      </c>
    </row>
    <row r="711" spans="2:15" ht="15" customHeight="1" x14ac:dyDescent="0.25">
      <c r="B711" s="11" t="s">
        <v>2240</v>
      </c>
      <c r="C711" s="89">
        <v>45491</v>
      </c>
      <c r="D711" s="12" t="s">
        <v>574</v>
      </c>
      <c r="E711" s="67"/>
      <c r="F711" s="12" t="s">
        <v>2241</v>
      </c>
      <c r="G711" s="12" t="s">
        <v>2242</v>
      </c>
      <c r="H711" s="67">
        <v>820</v>
      </c>
      <c r="I711" s="71">
        <v>4.22</v>
      </c>
      <c r="J711" s="72">
        <v>3460.4</v>
      </c>
      <c r="K711" s="67" t="s">
        <v>17</v>
      </c>
      <c r="L711" s="73" t="s">
        <v>1461</v>
      </c>
      <c r="M711" s="67" t="s">
        <v>31</v>
      </c>
    </row>
    <row r="712" spans="2:15" ht="15" customHeight="1" x14ac:dyDescent="0.25">
      <c r="B712" s="11" t="s">
        <v>2243</v>
      </c>
      <c r="C712" s="89">
        <v>45491</v>
      </c>
      <c r="D712" s="95" t="s">
        <v>2244</v>
      </c>
      <c r="E712" s="67"/>
      <c r="F712" s="12" t="s">
        <v>2245</v>
      </c>
      <c r="G712" s="12" t="s">
        <v>2246</v>
      </c>
      <c r="H712" s="67">
        <v>143</v>
      </c>
      <c r="I712" s="71"/>
      <c r="J712" s="72">
        <v>1650</v>
      </c>
      <c r="K712" s="96" t="s">
        <v>1874</v>
      </c>
      <c r="L712" s="73"/>
      <c r="M712" s="67" t="s">
        <v>18</v>
      </c>
    </row>
    <row r="713" spans="2:15" ht="15" customHeight="1" x14ac:dyDescent="0.25">
      <c r="B713" s="11" t="s">
        <v>2247</v>
      </c>
      <c r="C713" s="89">
        <v>45491</v>
      </c>
      <c r="D713" s="12" t="s">
        <v>574</v>
      </c>
      <c r="E713" s="67"/>
      <c r="F713" s="12" t="s">
        <v>2248</v>
      </c>
      <c r="G713" s="12" t="s">
        <v>2249</v>
      </c>
      <c r="H713" s="67">
        <v>300</v>
      </c>
      <c r="I713" s="71">
        <v>2.7</v>
      </c>
      <c r="J713" s="72">
        <v>810</v>
      </c>
      <c r="K713" s="67" t="s">
        <v>17</v>
      </c>
      <c r="L713" s="73" t="s">
        <v>1480</v>
      </c>
      <c r="M713" s="67" t="s">
        <v>31</v>
      </c>
    </row>
    <row r="714" spans="2:15" ht="15" customHeight="1" x14ac:dyDescent="0.25">
      <c r="B714" s="11" t="s">
        <v>2250</v>
      </c>
      <c r="C714" s="89">
        <v>45491</v>
      </c>
      <c r="D714" s="12" t="s">
        <v>1968</v>
      </c>
      <c r="E714" s="67"/>
      <c r="F714" s="12" t="s">
        <v>2251</v>
      </c>
      <c r="G714" s="12" t="s">
        <v>2252</v>
      </c>
      <c r="H714" s="67">
        <v>300</v>
      </c>
      <c r="I714" s="71">
        <v>37.65</v>
      </c>
      <c r="J714" s="72">
        <v>11295</v>
      </c>
      <c r="K714" s="67" t="s">
        <v>17</v>
      </c>
      <c r="L714" s="73"/>
      <c r="M714" s="67" t="s">
        <v>18</v>
      </c>
    </row>
    <row r="715" spans="2:15" ht="15" customHeight="1" x14ac:dyDescent="0.25">
      <c r="B715" s="11" t="s">
        <v>2253</v>
      </c>
      <c r="C715" s="89">
        <v>45491</v>
      </c>
      <c r="D715" s="12" t="s">
        <v>2254</v>
      </c>
      <c r="E715" s="67"/>
      <c r="F715" s="12" t="s">
        <v>2255</v>
      </c>
      <c r="G715" s="12" t="s">
        <v>2256</v>
      </c>
      <c r="H715" s="67">
        <v>2000</v>
      </c>
      <c r="I715" s="71"/>
      <c r="J715" s="72">
        <v>2590</v>
      </c>
      <c r="K715" s="67" t="s">
        <v>1649</v>
      </c>
      <c r="L715" s="73"/>
      <c r="M715" s="67" t="s">
        <v>31</v>
      </c>
    </row>
    <row r="716" spans="2:15" ht="15" customHeight="1" x14ac:dyDescent="0.25">
      <c r="B716" s="11" t="s">
        <v>2257</v>
      </c>
      <c r="C716" s="89">
        <v>45502</v>
      </c>
      <c r="D716" s="12" t="s">
        <v>2254</v>
      </c>
      <c r="E716" s="67"/>
      <c r="F716" s="12" t="s">
        <v>2258</v>
      </c>
      <c r="G716" s="12" t="s">
        <v>2259</v>
      </c>
      <c r="H716" s="67">
        <v>1030</v>
      </c>
      <c r="I716" s="87"/>
      <c r="J716" s="72">
        <v>2590</v>
      </c>
      <c r="K716" s="67" t="s">
        <v>1649</v>
      </c>
      <c r="L716" s="73" t="s">
        <v>2260</v>
      </c>
      <c r="M716" s="67" t="s">
        <v>31</v>
      </c>
    </row>
    <row r="717" spans="2:15" ht="15" customHeight="1" x14ac:dyDescent="0.25">
      <c r="B717" s="11" t="s">
        <v>2261</v>
      </c>
      <c r="C717" s="89">
        <v>45492</v>
      </c>
      <c r="D717" s="12" t="s">
        <v>2262</v>
      </c>
      <c r="E717" s="67"/>
      <c r="F717" s="12" t="s">
        <v>1374</v>
      </c>
      <c r="G717" s="12" t="s">
        <v>2263</v>
      </c>
      <c r="H717" s="67">
        <v>2</v>
      </c>
      <c r="I717" s="71">
        <v>2275</v>
      </c>
      <c r="J717" s="72">
        <v>4350</v>
      </c>
      <c r="K717" s="67" t="s">
        <v>1927</v>
      </c>
      <c r="L717" s="73"/>
      <c r="M717" s="67" t="s">
        <v>18</v>
      </c>
    </row>
    <row r="718" spans="2:15" ht="15" customHeight="1" x14ac:dyDescent="0.25">
      <c r="B718" s="11" t="s">
        <v>2264</v>
      </c>
      <c r="C718" s="89">
        <v>45495</v>
      </c>
      <c r="D718" s="12" t="s">
        <v>1569</v>
      </c>
      <c r="E718" s="67"/>
      <c r="F718" s="12" t="s">
        <v>2265</v>
      </c>
      <c r="G718" s="12" t="s">
        <v>2266</v>
      </c>
      <c r="H718" s="67">
        <v>200</v>
      </c>
      <c r="I718" s="71"/>
      <c r="J718" s="72">
        <v>4175</v>
      </c>
      <c r="K718" s="67" t="s">
        <v>25</v>
      </c>
      <c r="L718" s="73"/>
      <c r="M718" s="67" t="s">
        <v>18</v>
      </c>
    </row>
    <row r="719" spans="2:15" ht="15" customHeight="1" x14ac:dyDescent="0.25">
      <c r="B719" s="11" t="s">
        <v>2267</v>
      </c>
      <c r="C719" s="89">
        <v>45495</v>
      </c>
      <c r="D719" s="81" t="s">
        <v>2268</v>
      </c>
      <c r="E719" s="67"/>
      <c r="F719" s="12" t="s">
        <v>2269</v>
      </c>
      <c r="G719" s="12" t="s">
        <v>2270</v>
      </c>
      <c r="H719" s="67">
        <v>100</v>
      </c>
      <c r="I719" s="71"/>
      <c r="J719" s="72">
        <v>25250</v>
      </c>
      <c r="K719" s="67" t="s">
        <v>1649</v>
      </c>
      <c r="L719" s="73"/>
      <c r="M719" s="67" t="s">
        <v>18</v>
      </c>
    </row>
    <row r="720" spans="2:15" ht="15" customHeight="1" x14ac:dyDescent="0.25">
      <c r="B720" s="11" t="s">
        <v>2271</v>
      </c>
      <c r="C720" s="89">
        <v>45495</v>
      </c>
      <c r="D720" s="12" t="s">
        <v>241</v>
      </c>
      <c r="E720" s="67"/>
      <c r="F720" s="12" t="s">
        <v>259</v>
      </c>
      <c r="G720" s="12" t="s">
        <v>260</v>
      </c>
      <c r="H720" s="67">
        <v>6</v>
      </c>
      <c r="I720" s="71">
        <v>450</v>
      </c>
      <c r="J720" s="72">
        <v>2700</v>
      </c>
      <c r="K720" s="67" t="s">
        <v>17</v>
      </c>
      <c r="L720" s="73" t="s">
        <v>1468</v>
      </c>
      <c r="M720" s="67" t="s">
        <v>31</v>
      </c>
    </row>
    <row r="721" spans="2:15" ht="15" customHeight="1" x14ac:dyDescent="0.25">
      <c r="B721" s="11" t="s">
        <v>2272</v>
      </c>
      <c r="C721" s="89">
        <v>45495</v>
      </c>
      <c r="D721" s="81" t="s">
        <v>2273</v>
      </c>
      <c r="E721" s="67"/>
      <c r="F721" s="12" t="s">
        <v>2274</v>
      </c>
      <c r="G721" s="12" t="s">
        <v>2275</v>
      </c>
      <c r="H721" s="67">
        <v>3603</v>
      </c>
      <c r="I721" s="71"/>
      <c r="J721" s="72">
        <v>9405</v>
      </c>
      <c r="K721" s="67" t="s">
        <v>1649</v>
      </c>
      <c r="L721" s="73"/>
      <c r="M721" s="67" t="s">
        <v>18</v>
      </c>
    </row>
    <row r="722" spans="2:15" ht="15" customHeight="1" x14ac:dyDescent="0.25">
      <c r="B722" s="11" t="s">
        <v>2276</v>
      </c>
      <c r="C722" s="89">
        <v>45495</v>
      </c>
      <c r="D722" s="12" t="s">
        <v>2277</v>
      </c>
      <c r="E722" s="67"/>
      <c r="F722" s="12" t="s">
        <v>770</v>
      </c>
      <c r="G722" s="12" t="s">
        <v>756</v>
      </c>
      <c r="H722" s="67">
        <v>1000</v>
      </c>
      <c r="I722" s="87">
        <v>0.67500000000000004</v>
      </c>
      <c r="J722" s="72">
        <v>675</v>
      </c>
      <c r="K722" s="67" t="s">
        <v>25</v>
      </c>
      <c r="L722" s="73"/>
      <c r="M722" s="67" t="s">
        <v>18</v>
      </c>
    </row>
    <row r="723" spans="2:15" ht="15" customHeight="1" x14ac:dyDescent="0.25">
      <c r="B723" s="11" t="s">
        <v>2278</v>
      </c>
      <c r="C723" s="89">
        <v>45503</v>
      </c>
      <c r="D723" s="12" t="s">
        <v>1945</v>
      </c>
      <c r="E723" s="67"/>
      <c r="F723" s="12" t="s">
        <v>2279</v>
      </c>
      <c r="G723" s="12" t="s">
        <v>2215</v>
      </c>
      <c r="H723" s="67">
        <v>2000</v>
      </c>
      <c r="I723" s="71">
        <v>4.45</v>
      </c>
      <c r="J723" s="72">
        <v>8900</v>
      </c>
      <c r="K723" s="88" t="s">
        <v>17</v>
      </c>
      <c r="L723" s="73"/>
      <c r="M723" s="67" t="s">
        <v>18</v>
      </c>
    </row>
    <row r="724" spans="2:15" ht="15" customHeight="1" x14ac:dyDescent="0.25">
      <c r="B724" s="11" t="s">
        <v>2280</v>
      </c>
      <c r="C724" s="89">
        <v>45495</v>
      </c>
      <c r="D724" s="12" t="s">
        <v>2281</v>
      </c>
      <c r="E724" s="67"/>
      <c r="F724" s="12" t="s">
        <v>22</v>
      </c>
      <c r="G724" s="12" t="s">
        <v>2282</v>
      </c>
      <c r="H724" s="12" t="s">
        <v>2283</v>
      </c>
      <c r="I724" s="71">
        <v>65</v>
      </c>
      <c r="J724" s="72">
        <v>3900</v>
      </c>
      <c r="K724" s="67" t="s">
        <v>25</v>
      </c>
      <c r="L724" s="73"/>
      <c r="M724" s="67" t="s">
        <v>18</v>
      </c>
    </row>
    <row r="725" spans="2:15" ht="15" customHeight="1" x14ac:dyDescent="0.25">
      <c r="B725" s="11" t="s">
        <v>2284</v>
      </c>
      <c r="C725" s="89">
        <v>45496</v>
      </c>
      <c r="D725" s="97" t="s">
        <v>2285</v>
      </c>
      <c r="E725" s="67"/>
      <c r="F725" s="12" t="s">
        <v>2286</v>
      </c>
      <c r="G725" s="98"/>
      <c r="H725" s="67"/>
      <c r="I725" s="71"/>
      <c r="J725" s="72">
        <v>9123.06</v>
      </c>
      <c r="K725" s="67" t="s">
        <v>1649</v>
      </c>
      <c r="L725" s="73"/>
      <c r="M725" s="67" t="s">
        <v>18</v>
      </c>
    </row>
    <row r="726" spans="2:15" ht="15" customHeight="1" x14ac:dyDescent="0.25">
      <c r="B726" s="11" t="s">
        <v>2287</v>
      </c>
      <c r="C726" s="89">
        <v>45496</v>
      </c>
      <c r="D726" s="12" t="s">
        <v>589</v>
      </c>
      <c r="E726" s="67"/>
      <c r="F726" s="12" t="s">
        <v>2288</v>
      </c>
      <c r="G726" s="12" t="s">
        <v>2289</v>
      </c>
      <c r="H726" s="67">
        <v>100</v>
      </c>
      <c r="I726" s="71">
        <v>82.75</v>
      </c>
      <c r="J726" s="72">
        <v>8275</v>
      </c>
      <c r="K726" s="67" t="s">
        <v>25</v>
      </c>
      <c r="L726" s="73"/>
      <c r="M726" s="67" t="s">
        <v>18</v>
      </c>
    </row>
    <row r="727" spans="2:15" ht="15" customHeight="1" x14ac:dyDescent="0.25">
      <c r="B727" s="11" t="s">
        <v>2290</v>
      </c>
      <c r="C727" s="89">
        <v>45496</v>
      </c>
      <c r="D727" s="81" t="s">
        <v>2159</v>
      </c>
      <c r="E727" s="67"/>
      <c r="F727" s="12" t="s">
        <v>2291</v>
      </c>
      <c r="G727" s="12" t="s">
        <v>2292</v>
      </c>
      <c r="H727" s="67" t="s">
        <v>2293</v>
      </c>
      <c r="I727" s="71"/>
      <c r="J727" s="72">
        <v>2300</v>
      </c>
      <c r="K727" s="67" t="s">
        <v>1649</v>
      </c>
      <c r="L727" s="73"/>
      <c r="M727" s="67" t="s">
        <v>18</v>
      </c>
    </row>
    <row r="728" spans="2:15" ht="15" customHeight="1" x14ac:dyDescent="0.25">
      <c r="B728" s="11" t="s">
        <v>2294</v>
      </c>
      <c r="C728" s="89">
        <v>45496</v>
      </c>
      <c r="D728" s="12" t="s">
        <v>381</v>
      </c>
      <c r="E728" s="67"/>
      <c r="F728" s="12" t="s">
        <v>1604</v>
      </c>
      <c r="G728" s="12"/>
      <c r="H728" s="67">
        <v>5460</v>
      </c>
      <c r="I728" s="71"/>
      <c r="J728" s="72">
        <v>34629</v>
      </c>
      <c r="K728" s="67" t="s">
        <v>25</v>
      </c>
      <c r="L728" s="73"/>
      <c r="M728" s="67" t="s">
        <v>18</v>
      </c>
    </row>
    <row r="729" spans="2:15" ht="15" customHeight="1" x14ac:dyDescent="0.25">
      <c r="B729" s="11" t="s">
        <v>2295</v>
      </c>
      <c r="C729" s="89">
        <v>45496</v>
      </c>
      <c r="D729" s="12" t="s">
        <v>2296</v>
      </c>
      <c r="E729" s="67"/>
      <c r="F729" s="12" t="s">
        <v>2297</v>
      </c>
      <c r="G729" s="12" t="s">
        <v>2298</v>
      </c>
      <c r="H729" s="67">
        <v>1</v>
      </c>
      <c r="I729" s="71">
        <v>2750</v>
      </c>
      <c r="J729" s="72">
        <v>2750</v>
      </c>
      <c r="K729" s="67" t="s">
        <v>1927</v>
      </c>
      <c r="L729" s="73" t="s">
        <v>2299</v>
      </c>
      <c r="M729" s="67" t="s">
        <v>31</v>
      </c>
    </row>
    <row r="730" spans="2:15" ht="15" customHeight="1" x14ac:dyDescent="0.25">
      <c r="B730" s="11" t="s">
        <v>2300</v>
      </c>
      <c r="C730" s="89">
        <v>45496</v>
      </c>
      <c r="D730" s="12" t="s">
        <v>1188</v>
      </c>
      <c r="E730" s="67"/>
      <c r="F730" s="12" t="s">
        <v>2301</v>
      </c>
      <c r="G730" s="12" t="s">
        <v>2302</v>
      </c>
      <c r="H730" s="67">
        <v>40</v>
      </c>
      <c r="I730" s="71">
        <v>248.75</v>
      </c>
      <c r="J730" s="72">
        <v>9950</v>
      </c>
      <c r="K730" s="88" t="s">
        <v>17</v>
      </c>
      <c r="L730" s="73"/>
      <c r="M730" s="67" t="s">
        <v>18</v>
      </c>
      <c r="O730" s="7"/>
    </row>
    <row r="731" spans="2:15" ht="15" customHeight="1" x14ac:dyDescent="0.25">
      <c r="B731" s="11" t="s">
        <v>2303</v>
      </c>
      <c r="C731" s="89">
        <v>45496</v>
      </c>
      <c r="D731" s="12" t="s">
        <v>2304</v>
      </c>
      <c r="E731" s="67"/>
      <c r="F731" s="12" t="s">
        <v>2305</v>
      </c>
      <c r="G731" s="12" t="s">
        <v>2306</v>
      </c>
      <c r="H731" s="67">
        <v>1</v>
      </c>
      <c r="I731" s="71">
        <v>310</v>
      </c>
      <c r="J731" s="72">
        <v>310</v>
      </c>
      <c r="K731" s="67" t="s">
        <v>1874</v>
      </c>
      <c r="L731" s="73"/>
      <c r="M731" s="67" t="s">
        <v>18</v>
      </c>
    </row>
    <row r="732" spans="2:15" ht="15" customHeight="1" x14ac:dyDescent="0.25">
      <c r="B732" s="11" t="s">
        <v>2307</v>
      </c>
      <c r="C732" s="89">
        <v>45499</v>
      </c>
      <c r="D732" s="12" t="s">
        <v>211</v>
      </c>
      <c r="E732" s="67"/>
      <c r="F732" t="s">
        <v>2308</v>
      </c>
      <c r="G732" t="s">
        <v>2309</v>
      </c>
      <c r="H732" s="67" t="s">
        <v>2310</v>
      </c>
      <c r="I732" s="71">
        <v>315</v>
      </c>
      <c r="J732" s="72">
        <v>4725</v>
      </c>
      <c r="K732" s="67" t="s">
        <v>25</v>
      </c>
      <c r="L732" s="73"/>
      <c r="M732" s="11" t="s">
        <v>18</v>
      </c>
    </row>
    <row r="733" spans="2:15" s="15" customFormat="1" ht="15" customHeight="1" x14ac:dyDescent="0.25">
      <c r="B733" s="11" t="s">
        <v>2311</v>
      </c>
      <c r="C733" s="89">
        <v>45497</v>
      </c>
      <c r="D733" s="97" t="s">
        <v>2285</v>
      </c>
      <c r="E733" s="11"/>
      <c r="F733" s="12" t="s">
        <v>2312</v>
      </c>
      <c r="G733" s="12" t="s">
        <v>2313</v>
      </c>
      <c r="H733" s="11">
        <v>74700</v>
      </c>
      <c r="I733" s="24"/>
      <c r="J733" s="13">
        <v>23200</v>
      </c>
      <c r="K733" s="67" t="s">
        <v>1649</v>
      </c>
      <c r="L733" s="19"/>
      <c r="M733" s="11" t="s">
        <v>18</v>
      </c>
    </row>
    <row r="734" spans="2:15" ht="15" customHeight="1" x14ac:dyDescent="0.25">
      <c r="B734" s="11" t="s">
        <v>2314</v>
      </c>
      <c r="C734" s="89">
        <v>45497</v>
      </c>
      <c r="D734" s="12" t="s">
        <v>2315</v>
      </c>
      <c r="E734" s="67"/>
      <c r="F734" s="12" t="s">
        <v>511</v>
      </c>
      <c r="G734" s="12" t="s">
        <v>2316</v>
      </c>
      <c r="H734" s="12" t="s">
        <v>2317</v>
      </c>
      <c r="I734" s="71">
        <v>472.75</v>
      </c>
      <c r="J734" s="72">
        <v>1891</v>
      </c>
      <c r="K734" s="67" t="s">
        <v>1649</v>
      </c>
      <c r="L734" s="73"/>
      <c r="M734" s="67" t="s">
        <v>18</v>
      </c>
    </row>
    <row r="735" spans="2:15" ht="15" customHeight="1" x14ac:dyDescent="0.25">
      <c r="B735" s="11" t="s">
        <v>2318</v>
      </c>
      <c r="C735" s="89">
        <v>45497</v>
      </c>
      <c r="D735" s="12" t="s">
        <v>2319</v>
      </c>
      <c r="E735" s="67"/>
      <c r="F735" s="12" t="s">
        <v>2320</v>
      </c>
      <c r="G735" s="12" t="s">
        <v>2321</v>
      </c>
      <c r="H735" s="67">
        <v>51</v>
      </c>
      <c r="I735" s="71"/>
      <c r="J735" s="72">
        <v>2737.5</v>
      </c>
      <c r="K735" s="88" t="s">
        <v>17</v>
      </c>
      <c r="L735" s="73"/>
      <c r="M735" s="67" t="s">
        <v>18</v>
      </c>
    </row>
    <row r="736" spans="2:15" ht="15" customHeight="1" x14ac:dyDescent="0.25">
      <c r="B736" s="11" t="s">
        <v>2322</v>
      </c>
      <c r="C736" s="89">
        <v>45497</v>
      </c>
      <c r="D736" s="12" t="s">
        <v>2323</v>
      </c>
      <c r="E736" s="67"/>
      <c r="F736" s="12" t="s">
        <v>856</v>
      </c>
      <c r="G736" s="12" t="s">
        <v>152</v>
      </c>
      <c r="H736" s="12" t="s">
        <v>2324</v>
      </c>
      <c r="I736" s="71">
        <v>120</v>
      </c>
      <c r="J736" s="72">
        <v>2040</v>
      </c>
      <c r="K736" s="67" t="s">
        <v>17</v>
      </c>
      <c r="L736" s="73" t="s">
        <v>1487</v>
      </c>
      <c r="M736" s="67" t="s">
        <v>31</v>
      </c>
    </row>
    <row r="737" spans="2:15" s="15" customFormat="1" ht="15" customHeight="1" x14ac:dyDescent="0.25">
      <c r="B737" s="11" t="s">
        <v>2325</v>
      </c>
      <c r="C737" s="89">
        <v>45497</v>
      </c>
      <c r="D737" s="12" t="s">
        <v>2326</v>
      </c>
      <c r="E737" s="11"/>
      <c r="F737" s="12" t="s">
        <v>2327</v>
      </c>
      <c r="G737" s="12" t="s">
        <v>756</v>
      </c>
      <c r="H737" s="11">
        <v>30</v>
      </c>
      <c r="I737" s="24">
        <v>21.2</v>
      </c>
      <c r="J737" s="13">
        <v>636</v>
      </c>
      <c r="K737" s="67" t="s">
        <v>1649</v>
      </c>
      <c r="L737" s="19"/>
      <c r="M737" s="11" t="s">
        <v>18</v>
      </c>
    </row>
    <row r="738" spans="2:15" ht="15" customHeight="1" x14ac:dyDescent="0.25">
      <c r="B738" s="11" t="s">
        <v>2328</v>
      </c>
      <c r="C738" s="89">
        <v>45498</v>
      </c>
      <c r="D738" s="97" t="s">
        <v>2329</v>
      </c>
      <c r="E738" s="67"/>
      <c r="F738" s="12" t="s">
        <v>66</v>
      </c>
      <c r="G738" s="12" t="s">
        <v>2330</v>
      </c>
      <c r="H738" s="67">
        <v>119</v>
      </c>
      <c r="I738" s="71">
        <v>38.35</v>
      </c>
      <c r="J738" s="72">
        <v>4563.6499999999996</v>
      </c>
      <c r="K738" s="67" t="s">
        <v>1649</v>
      </c>
      <c r="L738" s="73"/>
      <c r="M738" s="67" t="s">
        <v>18</v>
      </c>
    </row>
    <row r="739" spans="2:15" ht="15" customHeight="1" x14ac:dyDescent="0.25">
      <c r="B739" s="11" t="s">
        <v>2331</v>
      </c>
      <c r="C739" s="89">
        <v>45498</v>
      </c>
      <c r="D739" s="12" t="s">
        <v>2332</v>
      </c>
      <c r="E739" s="67"/>
      <c r="F739" s="12" t="s">
        <v>2333</v>
      </c>
      <c r="G739" s="12" t="s">
        <v>2334</v>
      </c>
      <c r="H739" s="67">
        <v>25</v>
      </c>
      <c r="I739" s="71">
        <v>87.75</v>
      </c>
      <c r="J739" s="72">
        <v>2193.75</v>
      </c>
      <c r="K739" s="67" t="s">
        <v>1649</v>
      </c>
      <c r="L739" s="73"/>
      <c r="M739" s="67" t="s">
        <v>18</v>
      </c>
    </row>
    <row r="740" spans="2:15" ht="15" customHeight="1" x14ac:dyDescent="0.25">
      <c r="B740" s="11" t="s">
        <v>2335</v>
      </c>
      <c r="C740" s="89">
        <v>45498</v>
      </c>
      <c r="D740" s="12" t="s">
        <v>2336</v>
      </c>
      <c r="E740" s="67"/>
      <c r="F740" s="12" t="s">
        <v>2337</v>
      </c>
      <c r="G740" s="12" t="s">
        <v>2338</v>
      </c>
      <c r="H740" s="67">
        <v>1570</v>
      </c>
      <c r="I740" s="71"/>
      <c r="J740" s="72">
        <v>4844.5</v>
      </c>
      <c r="K740" s="67" t="s">
        <v>1649</v>
      </c>
      <c r="L740" s="73"/>
      <c r="M740" s="67" t="s">
        <v>18</v>
      </c>
    </row>
    <row r="741" spans="2:15" ht="15" customHeight="1" x14ac:dyDescent="0.25">
      <c r="B741" s="11" t="s">
        <v>2339</v>
      </c>
      <c r="C741" s="89">
        <v>45498</v>
      </c>
      <c r="D741" s="81" t="s">
        <v>2340</v>
      </c>
      <c r="E741" s="67"/>
      <c r="F741" s="12" t="s">
        <v>2341</v>
      </c>
      <c r="G741" s="12" t="s">
        <v>2342</v>
      </c>
      <c r="H741" s="99">
        <v>50</v>
      </c>
      <c r="I741" s="71">
        <v>110</v>
      </c>
      <c r="J741" s="72">
        <v>5500</v>
      </c>
      <c r="K741" s="67" t="s">
        <v>1649</v>
      </c>
      <c r="L741" s="73"/>
      <c r="M741" s="67" t="s">
        <v>18</v>
      </c>
    </row>
    <row r="742" spans="2:15" ht="15" customHeight="1" x14ac:dyDescent="0.25">
      <c r="B742" s="11" t="s">
        <v>2343</v>
      </c>
      <c r="C742" s="89">
        <v>45498</v>
      </c>
      <c r="D742" s="12" t="s">
        <v>654</v>
      </c>
      <c r="E742" s="67"/>
      <c r="F742" s="12" t="s">
        <v>2344</v>
      </c>
      <c r="G742" s="12" t="s">
        <v>2345</v>
      </c>
      <c r="H742" s="99">
        <v>6</v>
      </c>
      <c r="I742" s="71">
        <v>875</v>
      </c>
      <c r="J742" s="72">
        <v>5250</v>
      </c>
      <c r="K742" s="67" t="s">
        <v>17</v>
      </c>
      <c r="L742" s="73"/>
      <c r="M742" s="67" t="s">
        <v>18</v>
      </c>
    </row>
    <row r="743" spans="2:15" ht="15" customHeight="1" x14ac:dyDescent="0.25">
      <c r="B743" s="11" t="s">
        <v>2346</v>
      </c>
      <c r="C743" s="89">
        <v>45498</v>
      </c>
      <c r="D743" s="81" t="s">
        <v>2347</v>
      </c>
      <c r="E743" s="67"/>
      <c r="F743" s="12" t="s">
        <v>2348</v>
      </c>
      <c r="G743" s="12" t="s">
        <v>2349</v>
      </c>
      <c r="H743" s="99">
        <v>1000</v>
      </c>
      <c r="I743" s="71">
        <v>15</v>
      </c>
      <c r="J743" s="72">
        <v>15000</v>
      </c>
      <c r="K743" s="67" t="s">
        <v>1649</v>
      </c>
      <c r="L743" s="73"/>
      <c r="M743" s="67" t="s">
        <v>18</v>
      </c>
      <c r="O743" s="7"/>
    </row>
    <row r="744" spans="2:15" ht="15" customHeight="1" x14ac:dyDescent="0.25">
      <c r="B744" s="11" t="s">
        <v>2350</v>
      </c>
      <c r="C744" s="89">
        <v>45498</v>
      </c>
      <c r="D744" s="12" t="s">
        <v>255</v>
      </c>
      <c r="E744" s="67"/>
      <c r="F744" s="12" t="s">
        <v>2351</v>
      </c>
      <c r="G744" s="12" t="s">
        <v>2352</v>
      </c>
      <c r="H744" s="99">
        <v>30500</v>
      </c>
      <c r="I744" s="71"/>
      <c r="J744" s="72">
        <v>10355</v>
      </c>
      <c r="K744" s="67" t="s">
        <v>17</v>
      </c>
      <c r="L744" s="73"/>
      <c r="M744" s="67" t="s">
        <v>18</v>
      </c>
    </row>
    <row r="745" spans="2:15" ht="15" customHeight="1" x14ac:dyDescent="0.25">
      <c r="B745" s="11" t="s">
        <v>2353</v>
      </c>
      <c r="C745" s="89">
        <v>45498</v>
      </c>
      <c r="D745" s="12" t="s">
        <v>2354</v>
      </c>
      <c r="E745" s="67"/>
      <c r="F745" s="12" t="s">
        <v>1247</v>
      </c>
      <c r="G745" s="12" t="s">
        <v>2355</v>
      </c>
      <c r="H745" s="12" t="s">
        <v>2356</v>
      </c>
      <c r="I745" s="71">
        <v>175</v>
      </c>
      <c r="J745" s="72">
        <v>175</v>
      </c>
      <c r="K745" s="67" t="s">
        <v>17</v>
      </c>
      <c r="L745" s="73"/>
      <c r="M745" s="67" t="s">
        <v>31</v>
      </c>
    </row>
    <row r="746" spans="2:15" ht="15" customHeight="1" x14ac:dyDescent="0.25">
      <c r="B746" s="11" t="s">
        <v>2357</v>
      </c>
      <c r="C746" s="89">
        <v>45499</v>
      </c>
      <c r="D746" s="12" t="s">
        <v>170</v>
      </c>
      <c r="E746" s="67"/>
      <c r="F746" s="12" t="s">
        <v>2358</v>
      </c>
      <c r="G746" s="12" t="s">
        <v>2359</v>
      </c>
      <c r="H746" s="67">
        <v>300</v>
      </c>
      <c r="I746" s="71">
        <v>11.35</v>
      </c>
      <c r="J746" s="72">
        <v>3405</v>
      </c>
      <c r="K746" s="67" t="s">
        <v>17</v>
      </c>
      <c r="L746" s="73"/>
      <c r="M746" s="67" t="s">
        <v>31</v>
      </c>
    </row>
    <row r="747" spans="2:15" s="15" customFormat="1" ht="15" customHeight="1" x14ac:dyDescent="0.25">
      <c r="B747" s="11" t="s">
        <v>2360</v>
      </c>
      <c r="C747" s="89">
        <v>45499</v>
      </c>
      <c r="D747" s="12" t="s">
        <v>2131</v>
      </c>
      <c r="E747" s="11"/>
      <c r="F747" s="12" t="s">
        <v>2361</v>
      </c>
      <c r="G747" s="12" t="s">
        <v>2362</v>
      </c>
      <c r="H747" s="11">
        <v>300</v>
      </c>
      <c r="I747" s="24">
        <v>38.25</v>
      </c>
      <c r="J747" s="13">
        <v>11475</v>
      </c>
      <c r="K747" s="11" t="s">
        <v>17</v>
      </c>
      <c r="L747" s="19"/>
      <c r="M747" s="11" t="s">
        <v>18</v>
      </c>
      <c r="O747" s="7"/>
    </row>
    <row r="748" spans="2:15" ht="15" customHeight="1" x14ac:dyDescent="0.25">
      <c r="B748" s="11" t="s">
        <v>2363</v>
      </c>
      <c r="C748" s="89">
        <v>45499</v>
      </c>
      <c r="D748" s="97" t="s">
        <v>2364</v>
      </c>
      <c r="E748" s="67"/>
      <c r="F748" s="12" t="s">
        <v>2365</v>
      </c>
      <c r="G748" s="12" t="s">
        <v>2366</v>
      </c>
      <c r="H748" s="67">
        <v>1</v>
      </c>
      <c r="I748" s="71">
        <v>3950</v>
      </c>
      <c r="J748" s="72">
        <v>3950</v>
      </c>
      <c r="K748" s="67" t="s">
        <v>1649</v>
      </c>
      <c r="L748" s="73"/>
      <c r="M748" s="67" t="s">
        <v>18</v>
      </c>
    </row>
    <row r="749" spans="2:15" ht="15" customHeight="1" x14ac:dyDescent="0.25">
      <c r="B749" s="11" t="s">
        <v>2367</v>
      </c>
      <c r="C749" s="89">
        <v>45499</v>
      </c>
      <c r="D749" s="97" t="s">
        <v>2364</v>
      </c>
      <c r="E749" s="67"/>
      <c r="F749" s="12" t="s">
        <v>2368</v>
      </c>
      <c r="G749" s="12" t="s">
        <v>2169</v>
      </c>
      <c r="H749" s="67">
        <v>75</v>
      </c>
      <c r="I749" s="71">
        <v>138.75</v>
      </c>
      <c r="J749" s="72">
        <v>10406.25</v>
      </c>
      <c r="K749" s="67" t="s">
        <v>1649</v>
      </c>
      <c r="L749" s="73"/>
      <c r="M749" s="67" t="s">
        <v>18</v>
      </c>
    </row>
    <row r="750" spans="2:15" s="15" customFormat="1" ht="15" customHeight="1" x14ac:dyDescent="0.25">
      <c r="B750" s="11" t="s">
        <v>2369</v>
      </c>
      <c r="C750" s="89">
        <v>45502</v>
      </c>
      <c r="D750" t="s">
        <v>1945</v>
      </c>
      <c r="E750" s="11"/>
      <c r="F750" s="23" t="s">
        <v>2370</v>
      </c>
      <c r="G750" s="23" t="s">
        <v>2371</v>
      </c>
      <c r="H750" s="11">
        <v>6</v>
      </c>
      <c r="I750" s="100">
        <v>158.75</v>
      </c>
      <c r="J750" s="13">
        <v>952.5</v>
      </c>
      <c r="K750" s="67" t="s">
        <v>17</v>
      </c>
      <c r="L750" s="19"/>
      <c r="M750" s="11" t="s">
        <v>18</v>
      </c>
    </row>
    <row r="751" spans="2:15" ht="15" customHeight="1" x14ac:dyDescent="0.25">
      <c r="B751" s="11" t="s">
        <v>2372</v>
      </c>
      <c r="C751" s="89">
        <v>45502</v>
      </c>
      <c r="D751" t="s">
        <v>2373</v>
      </c>
      <c r="E751" s="67"/>
      <c r="F751" t="s">
        <v>2374</v>
      </c>
      <c r="G751" t="s">
        <v>2375</v>
      </c>
      <c r="H751" s="67">
        <v>8</v>
      </c>
      <c r="I751" s="71"/>
      <c r="J751" s="72">
        <v>1813.5</v>
      </c>
      <c r="K751" s="67" t="s">
        <v>25</v>
      </c>
      <c r="L751" s="73"/>
      <c r="M751" s="67" t="s">
        <v>18</v>
      </c>
    </row>
    <row r="752" spans="2:15" ht="15" customHeight="1" x14ac:dyDescent="0.25">
      <c r="B752" s="11" t="s">
        <v>2376</v>
      </c>
      <c r="C752" s="101">
        <v>45502</v>
      </c>
      <c r="D752" t="s">
        <v>2377</v>
      </c>
      <c r="E752" s="88"/>
      <c r="F752" s="102" t="s">
        <v>2378</v>
      </c>
      <c r="G752" t="s">
        <v>2379</v>
      </c>
      <c r="H752" s="67">
        <v>11260</v>
      </c>
      <c r="I752" s="71"/>
      <c r="J752" s="72">
        <v>35524</v>
      </c>
      <c r="K752" s="67" t="s">
        <v>25</v>
      </c>
      <c r="L752" s="73"/>
      <c r="M752" s="67" t="s">
        <v>18</v>
      </c>
    </row>
    <row r="753" spans="2:15" s="15" customFormat="1" ht="15" customHeight="1" x14ac:dyDescent="0.25">
      <c r="B753" s="11" t="s">
        <v>2380</v>
      </c>
      <c r="C753" s="89">
        <v>45502</v>
      </c>
      <c r="D753" s="81" t="s">
        <v>2142</v>
      </c>
      <c r="E753" s="11"/>
      <c r="F753" s="12" t="s">
        <v>144</v>
      </c>
      <c r="G753" s="12" t="s">
        <v>771</v>
      </c>
      <c r="H753" s="103">
        <v>50</v>
      </c>
      <c r="I753" s="13">
        <v>10.5</v>
      </c>
      <c r="J753" s="13">
        <v>525</v>
      </c>
      <c r="K753" s="67" t="s">
        <v>1649</v>
      </c>
      <c r="L753" s="19"/>
      <c r="M753" s="11" t="s">
        <v>18</v>
      </c>
    </row>
    <row r="754" spans="2:15" s="15" customFormat="1" ht="15" customHeight="1" x14ac:dyDescent="0.25">
      <c r="B754" s="11" t="s">
        <v>2381</v>
      </c>
      <c r="C754" s="89">
        <v>45502</v>
      </c>
      <c r="D754" s="12" t="s">
        <v>574</v>
      </c>
      <c r="E754" s="11"/>
      <c r="F754" s="12" t="s">
        <v>2382</v>
      </c>
      <c r="G754" s="12" t="s">
        <v>2383</v>
      </c>
      <c r="H754" t="s">
        <v>2384</v>
      </c>
      <c r="I754" s="24">
        <v>30.5</v>
      </c>
      <c r="J754" s="13">
        <v>1220</v>
      </c>
      <c r="K754" s="11" t="s">
        <v>17</v>
      </c>
      <c r="L754" s="19"/>
      <c r="M754" s="11" t="s">
        <v>31</v>
      </c>
    </row>
    <row r="755" spans="2:15" ht="15" customHeight="1" x14ac:dyDescent="0.25">
      <c r="B755" s="11" t="s">
        <v>2385</v>
      </c>
      <c r="C755" s="89">
        <v>45509</v>
      </c>
      <c r="D755" s="12" t="s">
        <v>2386</v>
      </c>
      <c r="E755" s="67"/>
      <c r="F755" s="12" t="s">
        <v>679</v>
      </c>
      <c r="G755" s="12" t="s">
        <v>2387</v>
      </c>
      <c r="H755" s="99">
        <v>30</v>
      </c>
      <c r="I755" s="71">
        <v>150</v>
      </c>
      <c r="J755" s="72">
        <v>4500</v>
      </c>
      <c r="K755" s="67" t="s">
        <v>1649</v>
      </c>
      <c r="L755" s="73"/>
      <c r="M755" s="67" t="s">
        <v>18</v>
      </c>
    </row>
    <row r="756" spans="2:15" ht="15" customHeight="1" x14ac:dyDescent="0.25">
      <c r="B756" s="11" t="s">
        <v>2388</v>
      </c>
      <c r="C756" s="89">
        <v>45503</v>
      </c>
      <c r="D756" s="12" t="s">
        <v>2038</v>
      </c>
      <c r="E756" s="67"/>
      <c r="F756" s="12" t="s">
        <v>2389</v>
      </c>
      <c r="G756" s="12" t="s">
        <v>2390</v>
      </c>
      <c r="H756" s="99">
        <v>50</v>
      </c>
      <c r="I756" s="71">
        <v>94.25</v>
      </c>
      <c r="J756" s="72">
        <v>4712.5</v>
      </c>
      <c r="K756" s="67" t="s">
        <v>17</v>
      </c>
      <c r="L756" s="73"/>
      <c r="M756" s="67" t="s">
        <v>18</v>
      </c>
      <c r="O756" s="7"/>
    </row>
    <row r="757" spans="2:15" ht="15" customHeight="1" x14ac:dyDescent="0.25">
      <c r="B757" s="82" t="s">
        <v>2391</v>
      </c>
      <c r="C757" s="104">
        <v>45503</v>
      </c>
      <c r="D757" s="84" t="s">
        <v>2093</v>
      </c>
      <c r="E757" s="67"/>
      <c r="F757" s="84" t="s">
        <v>66</v>
      </c>
      <c r="G757" s="12" t="s">
        <v>2392</v>
      </c>
      <c r="H757" s="99">
        <v>200</v>
      </c>
      <c r="I757" s="71">
        <v>32</v>
      </c>
      <c r="J757" s="85">
        <v>6400</v>
      </c>
      <c r="K757" s="86" t="s">
        <v>2095</v>
      </c>
      <c r="L757" s="73"/>
      <c r="M757" s="82" t="s">
        <v>18</v>
      </c>
    </row>
    <row r="758" spans="2:15" ht="15" customHeight="1" x14ac:dyDescent="0.25">
      <c r="B758" s="11" t="s">
        <v>2393</v>
      </c>
      <c r="C758" s="89">
        <v>45503</v>
      </c>
      <c r="D758" s="12" t="s">
        <v>654</v>
      </c>
      <c r="E758" s="67"/>
      <c r="F758" s="12" t="s">
        <v>120</v>
      </c>
      <c r="G758" s="12" t="s">
        <v>2394</v>
      </c>
      <c r="H758" s="99">
        <v>300</v>
      </c>
      <c r="I758" s="71">
        <v>5.266</v>
      </c>
      <c r="J758" s="72">
        <v>1659</v>
      </c>
      <c r="K758" s="67" t="s">
        <v>25</v>
      </c>
      <c r="L758" s="73"/>
      <c r="M758" s="67" t="s">
        <v>31</v>
      </c>
    </row>
    <row r="759" spans="2:15" ht="15" customHeight="1" x14ac:dyDescent="0.25">
      <c r="B759" s="11" t="s">
        <v>2395</v>
      </c>
      <c r="C759" s="89">
        <v>45503</v>
      </c>
      <c r="D759" s="12" t="s">
        <v>2396</v>
      </c>
      <c r="E759" s="67"/>
      <c r="F759" s="12" t="s">
        <v>2312</v>
      </c>
      <c r="G759" s="12" t="s">
        <v>2397</v>
      </c>
      <c r="H759" s="99">
        <v>16</v>
      </c>
      <c r="I759" s="71">
        <v>17.809999999999999</v>
      </c>
      <c r="J759" s="72">
        <v>285</v>
      </c>
      <c r="K759" s="67" t="s">
        <v>1927</v>
      </c>
      <c r="L759" s="73"/>
      <c r="M759" s="67" t="s">
        <v>18</v>
      </c>
    </row>
    <row r="760" spans="2:15" ht="15" customHeight="1" x14ac:dyDescent="0.25">
      <c r="B760" s="11" t="s">
        <v>2398</v>
      </c>
      <c r="C760" s="89">
        <v>45503</v>
      </c>
      <c r="D760" s="12" t="s">
        <v>2237</v>
      </c>
      <c r="E760" s="67"/>
      <c r="F760" s="12" t="s">
        <v>2399</v>
      </c>
      <c r="G760" s="12" t="s">
        <v>2400</v>
      </c>
      <c r="H760" s="99">
        <v>180</v>
      </c>
      <c r="I760" s="71"/>
      <c r="J760" s="72">
        <v>6175</v>
      </c>
      <c r="K760" s="67" t="s">
        <v>17</v>
      </c>
      <c r="L760" s="73"/>
      <c r="M760" s="67" t="s">
        <v>18</v>
      </c>
    </row>
    <row r="761" spans="2:15" ht="15" customHeight="1" x14ac:dyDescent="0.25">
      <c r="B761" s="11" t="s">
        <v>2401</v>
      </c>
      <c r="C761" s="89">
        <v>45503</v>
      </c>
      <c r="D761" t="s">
        <v>2402</v>
      </c>
      <c r="E761" s="67"/>
      <c r="F761" t="s">
        <v>2403</v>
      </c>
      <c r="G761" t="s">
        <v>2404</v>
      </c>
      <c r="H761" s="67">
        <v>200</v>
      </c>
      <c r="I761" s="71">
        <v>9.65</v>
      </c>
      <c r="J761" s="72">
        <v>1930</v>
      </c>
      <c r="K761" s="67" t="s">
        <v>17</v>
      </c>
      <c r="L761" s="73"/>
      <c r="M761" s="67" t="s">
        <v>18</v>
      </c>
    </row>
    <row r="762" spans="2:15" ht="15" customHeight="1" x14ac:dyDescent="0.25">
      <c r="B762" s="11" t="s">
        <v>2405</v>
      </c>
      <c r="C762" s="89">
        <v>45503</v>
      </c>
      <c r="D762" t="s">
        <v>2406</v>
      </c>
      <c r="E762" s="67"/>
      <c r="F762" s="12" t="s">
        <v>2407</v>
      </c>
      <c r="G762" t="s">
        <v>2408</v>
      </c>
      <c r="H762" s="67">
        <v>195</v>
      </c>
      <c r="I762" s="71"/>
      <c r="J762" s="72">
        <v>3232.5</v>
      </c>
      <c r="K762" s="67" t="s">
        <v>17</v>
      </c>
      <c r="L762" s="73"/>
      <c r="M762" s="67" t="s">
        <v>31</v>
      </c>
    </row>
    <row r="763" spans="2:15" ht="15" customHeight="1" x14ac:dyDescent="0.25">
      <c r="B763" s="11" t="s">
        <v>2409</v>
      </c>
      <c r="C763" s="89">
        <v>45503</v>
      </c>
      <c r="D763" t="s">
        <v>27</v>
      </c>
      <c r="E763" s="67"/>
      <c r="F763" t="s">
        <v>1421</v>
      </c>
      <c r="G763" t="s">
        <v>216</v>
      </c>
      <c r="H763" s="67">
        <v>1000</v>
      </c>
      <c r="I763" s="71">
        <v>0.91500000000000004</v>
      </c>
      <c r="J763" s="72">
        <v>915</v>
      </c>
      <c r="K763" s="67" t="s">
        <v>17</v>
      </c>
      <c r="L763" s="73"/>
      <c r="M763" s="67" t="s">
        <v>31</v>
      </c>
    </row>
    <row r="764" spans="2:15" s="15" customFormat="1" ht="15" customHeight="1" x14ac:dyDescent="0.25">
      <c r="B764" s="11" t="s">
        <v>2410</v>
      </c>
      <c r="C764" s="89">
        <v>45516</v>
      </c>
      <c r="D764" t="s">
        <v>503</v>
      </c>
      <c r="E764" s="11"/>
      <c r="F764" t="s">
        <v>1070</v>
      </c>
      <c r="G764" s="23" t="s">
        <v>2411</v>
      </c>
      <c r="H764" s="11">
        <v>100</v>
      </c>
      <c r="I764" s="24"/>
      <c r="J764" s="13">
        <v>785</v>
      </c>
      <c r="K764" s="11" t="s">
        <v>25</v>
      </c>
      <c r="L764" s="19"/>
      <c r="M764" s="11" t="s">
        <v>31</v>
      </c>
    </row>
    <row r="765" spans="2:15" ht="15" customHeight="1" x14ac:dyDescent="0.25">
      <c r="B765" s="67" t="s">
        <v>2412</v>
      </c>
      <c r="C765" s="105">
        <v>45503</v>
      </c>
      <c r="D765" s="12" t="s">
        <v>2296</v>
      </c>
      <c r="E765" s="67"/>
      <c r="F765" s="12" t="s">
        <v>2413</v>
      </c>
      <c r="G765" s="12"/>
      <c r="H765" s="67"/>
      <c r="I765" s="71"/>
      <c r="J765" s="72">
        <v>84750</v>
      </c>
      <c r="K765" s="67" t="s">
        <v>17</v>
      </c>
      <c r="L765" s="73"/>
      <c r="M765" s="67" t="s">
        <v>18</v>
      </c>
    </row>
    <row r="766" spans="2:15" ht="15" customHeight="1" x14ac:dyDescent="0.25">
      <c r="B766" s="67" t="s">
        <v>2414</v>
      </c>
      <c r="C766" s="106">
        <v>45504</v>
      </c>
      <c r="D766" s="107" t="s">
        <v>1060</v>
      </c>
      <c r="E766" s="67"/>
      <c r="F766" s="12" t="s">
        <v>2415</v>
      </c>
      <c r="G766" s="12"/>
      <c r="H766" s="67"/>
      <c r="I766" s="71"/>
      <c r="J766" s="72">
        <v>375</v>
      </c>
      <c r="K766" s="67" t="s">
        <v>17</v>
      </c>
      <c r="L766" s="73"/>
      <c r="M766" s="67" t="s">
        <v>31</v>
      </c>
    </row>
    <row r="767" spans="2:15" ht="15" customHeight="1" x14ac:dyDescent="0.25">
      <c r="B767" s="67" t="s">
        <v>2416</v>
      </c>
      <c r="C767" s="106">
        <v>45504</v>
      </c>
      <c r="D767" s="107" t="s">
        <v>1060</v>
      </c>
      <c r="E767" s="67"/>
      <c r="F767" s="12" t="s">
        <v>2417</v>
      </c>
      <c r="G767" s="12"/>
      <c r="H767" s="67"/>
      <c r="I767" s="87"/>
      <c r="J767" s="72">
        <v>533.75</v>
      </c>
      <c r="K767" s="67" t="s">
        <v>17</v>
      </c>
      <c r="L767" s="73"/>
      <c r="M767" s="67" t="s">
        <v>31</v>
      </c>
    </row>
    <row r="768" spans="2:15" ht="15" customHeight="1" x14ac:dyDescent="0.25">
      <c r="B768" s="67" t="s">
        <v>2418</v>
      </c>
      <c r="C768" s="106">
        <v>45504</v>
      </c>
      <c r="D768" s="107" t="s">
        <v>2419</v>
      </c>
      <c r="E768" s="67"/>
      <c r="F768" s="108" t="s">
        <v>2420</v>
      </c>
      <c r="G768" s="12"/>
      <c r="H768" s="67"/>
      <c r="I768" s="71"/>
      <c r="J768" s="72">
        <v>1350</v>
      </c>
      <c r="K768" s="67" t="s">
        <v>17</v>
      </c>
      <c r="L768" s="73"/>
      <c r="M768" s="67" t="s">
        <v>18</v>
      </c>
    </row>
    <row r="769" spans="2:15" ht="15" customHeight="1" x14ac:dyDescent="0.25">
      <c r="B769" s="67" t="s">
        <v>2421</v>
      </c>
      <c r="C769" s="106">
        <v>45506</v>
      </c>
      <c r="D769" s="107" t="s">
        <v>1060</v>
      </c>
      <c r="E769" s="67"/>
      <c r="F769" s="108" t="s">
        <v>2422</v>
      </c>
      <c r="G769" s="12"/>
      <c r="H769" s="67"/>
      <c r="I769" s="71"/>
      <c r="J769" s="72">
        <v>850</v>
      </c>
      <c r="K769" s="67" t="s">
        <v>17</v>
      </c>
      <c r="L769" s="73"/>
      <c r="M769" s="67" t="s">
        <v>31</v>
      </c>
    </row>
    <row r="770" spans="2:15" s="15" customFormat="1" ht="15" customHeight="1" x14ac:dyDescent="0.25">
      <c r="B770" s="11" t="s">
        <v>2423</v>
      </c>
      <c r="C770" s="106">
        <v>45504</v>
      </c>
      <c r="D770" s="12" t="s">
        <v>27</v>
      </c>
      <c r="E770" s="11"/>
      <c r="F770" s="23" t="s">
        <v>2424</v>
      </c>
      <c r="G770" s="23"/>
      <c r="H770" s="11"/>
      <c r="I770" s="24"/>
      <c r="J770" s="13">
        <v>1725</v>
      </c>
      <c r="K770" s="11" t="s">
        <v>17</v>
      </c>
      <c r="L770" s="19"/>
      <c r="M770" s="11" t="s">
        <v>31</v>
      </c>
    </row>
    <row r="771" spans="2:15" s="15" customFormat="1" ht="15" customHeight="1" x14ac:dyDescent="0.25">
      <c r="B771" s="11" t="s">
        <v>2425</v>
      </c>
      <c r="C771" s="106">
        <v>45504</v>
      </c>
      <c r="D771" s="12" t="s">
        <v>27</v>
      </c>
      <c r="E771" s="11"/>
      <c r="F771" s="23" t="s">
        <v>2426</v>
      </c>
      <c r="G771" s="31"/>
      <c r="H771" s="11"/>
      <c r="I771" s="42"/>
      <c r="J771" s="13">
        <v>1305</v>
      </c>
      <c r="K771" s="11" t="s">
        <v>17</v>
      </c>
      <c r="L771" s="19"/>
      <c r="M771" s="11" t="s">
        <v>31</v>
      </c>
    </row>
    <row r="772" spans="2:15" ht="15" customHeight="1" x14ac:dyDescent="0.25">
      <c r="B772" s="67" t="s">
        <v>2427</v>
      </c>
      <c r="C772" s="105">
        <v>45504</v>
      </c>
      <c r="D772" s="12" t="s">
        <v>1034</v>
      </c>
      <c r="E772" s="67"/>
      <c r="F772" s="12" t="s">
        <v>2428</v>
      </c>
      <c r="G772" s="12"/>
      <c r="H772" s="67"/>
      <c r="I772" s="71"/>
      <c r="J772" s="72">
        <v>210</v>
      </c>
      <c r="K772" s="67" t="s">
        <v>17</v>
      </c>
      <c r="L772" s="73"/>
      <c r="M772" s="67" t="s">
        <v>18</v>
      </c>
      <c r="O772" s="7"/>
    </row>
    <row r="773" spans="2:15" ht="15" customHeight="1" x14ac:dyDescent="0.25">
      <c r="B773" s="67" t="s">
        <v>2429</v>
      </c>
      <c r="C773" s="105">
        <v>45505</v>
      </c>
      <c r="D773" s="12" t="s">
        <v>2281</v>
      </c>
      <c r="E773" s="67"/>
      <c r="F773" s="12" t="s">
        <v>2430</v>
      </c>
      <c r="G773" s="12"/>
      <c r="H773" s="67"/>
      <c r="I773" s="71"/>
      <c r="J773" s="72">
        <v>180</v>
      </c>
      <c r="K773" s="67" t="s">
        <v>17</v>
      </c>
      <c r="L773" s="73"/>
      <c r="M773" s="67" t="s">
        <v>18</v>
      </c>
    </row>
    <row r="774" spans="2:15" ht="15" customHeight="1" x14ac:dyDescent="0.25">
      <c r="B774" s="67" t="s">
        <v>2431</v>
      </c>
      <c r="C774" s="105">
        <v>45505</v>
      </c>
      <c r="D774" s="12" t="s">
        <v>2373</v>
      </c>
      <c r="E774" s="67"/>
      <c r="F774" s="12" t="s">
        <v>2432</v>
      </c>
      <c r="G774" s="12"/>
      <c r="H774" s="67"/>
      <c r="I774" s="71"/>
      <c r="J774" s="72">
        <v>172.5</v>
      </c>
      <c r="K774" s="67" t="s">
        <v>17</v>
      </c>
      <c r="L774" s="73"/>
      <c r="M774" s="67" t="s">
        <v>18</v>
      </c>
    </row>
    <row r="775" spans="2:15" ht="15" customHeight="1" x14ac:dyDescent="0.25">
      <c r="B775" s="67" t="s">
        <v>2433</v>
      </c>
      <c r="C775" s="109">
        <v>45506</v>
      </c>
      <c r="D775" s="78" t="s">
        <v>639</v>
      </c>
      <c r="E775" s="67"/>
      <c r="F775" s="12" t="s">
        <v>2434</v>
      </c>
      <c r="G775" s="98"/>
      <c r="H775" s="67"/>
      <c r="I775" s="71"/>
      <c r="J775" s="72">
        <v>3150</v>
      </c>
      <c r="K775" s="67" t="s">
        <v>17</v>
      </c>
      <c r="L775" s="73"/>
      <c r="M775" s="67" t="s">
        <v>31</v>
      </c>
    </row>
    <row r="776" spans="2:15" ht="15" customHeight="1" x14ac:dyDescent="0.25">
      <c r="B776" s="67" t="s">
        <v>2435</v>
      </c>
      <c r="C776" s="105">
        <v>45506</v>
      </c>
      <c r="D776" s="12" t="s">
        <v>2436</v>
      </c>
      <c r="E776" s="67"/>
      <c r="F776" s="12" t="s">
        <v>2437</v>
      </c>
      <c r="G776" s="12"/>
      <c r="H776" s="67"/>
      <c r="I776" s="71"/>
      <c r="J776" s="72">
        <v>34255</v>
      </c>
      <c r="K776" s="67" t="s">
        <v>17</v>
      </c>
      <c r="L776" s="73"/>
      <c r="M776" s="67" t="s">
        <v>18</v>
      </c>
    </row>
    <row r="777" spans="2:15" ht="15" customHeight="1" x14ac:dyDescent="0.25">
      <c r="B777" s="67" t="s">
        <v>2438</v>
      </c>
      <c r="C777" s="105">
        <v>45509</v>
      </c>
      <c r="D777" s="12" t="s">
        <v>2439</v>
      </c>
      <c r="E777" s="67"/>
      <c r="F777" s="12" t="s">
        <v>2424</v>
      </c>
      <c r="G777" s="12"/>
      <c r="H777" s="67"/>
      <c r="I777" s="71"/>
      <c r="J777" s="72">
        <v>843.75</v>
      </c>
      <c r="K777" s="67" t="s">
        <v>17</v>
      </c>
      <c r="L777" s="73"/>
      <c r="M777" s="67" t="s">
        <v>31</v>
      </c>
    </row>
    <row r="778" spans="2:15" ht="15" customHeight="1" x14ac:dyDescent="0.25">
      <c r="B778" s="67" t="s">
        <v>2440</v>
      </c>
      <c r="C778" s="105">
        <v>45509</v>
      </c>
      <c r="D778" s="12" t="s">
        <v>27</v>
      </c>
      <c r="E778" s="67"/>
      <c r="F778" s="12" t="s">
        <v>2441</v>
      </c>
      <c r="G778" s="98"/>
      <c r="H778" s="67"/>
      <c r="I778" s="71"/>
      <c r="J778" s="72">
        <v>25440</v>
      </c>
      <c r="K778" s="67" t="s">
        <v>17</v>
      </c>
      <c r="L778" s="73"/>
      <c r="M778" s="67" t="s">
        <v>31</v>
      </c>
    </row>
    <row r="779" spans="2:15" ht="15" customHeight="1" x14ac:dyDescent="0.25">
      <c r="B779" s="67" t="s">
        <v>2442</v>
      </c>
      <c r="C779" s="105">
        <v>45509</v>
      </c>
      <c r="D779" s="12" t="s">
        <v>611</v>
      </c>
      <c r="E779" s="67"/>
      <c r="F779" s="12" t="s">
        <v>2443</v>
      </c>
      <c r="G779" s="12"/>
      <c r="H779" s="67"/>
      <c r="I779" s="71"/>
      <c r="J779" s="72">
        <v>925</v>
      </c>
      <c r="K779" s="67" t="s">
        <v>17</v>
      </c>
      <c r="L779" s="73"/>
      <c r="M779" s="67" t="s">
        <v>18</v>
      </c>
      <c r="O779" s="7"/>
    </row>
    <row r="780" spans="2:15" ht="15" customHeight="1" x14ac:dyDescent="0.25">
      <c r="B780" s="67" t="s">
        <v>2444</v>
      </c>
      <c r="C780" s="105">
        <v>45509</v>
      </c>
      <c r="D780" s="12" t="s">
        <v>2445</v>
      </c>
      <c r="E780" s="67"/>
      <c r="F780" s="12" t="s">
        <v>780</v>
      </c>
      <c r="G780" s="12"/>
      <c r="H780" s="67"/>
      <c r="I780" s="87"/>
      <c r="J780" s="72">
        <v>1640</v>
      </c>
      <c r="K780" s="67" t="s">
        <v>1649</v>
      </c>
      <c r="L780" s="73"/>
      <c r="M780" s="67" t="s">
        <v>18</v>
      </c>
      <c r="O780" s="7"/>
    </row>
    <row r="781" spans="2:15" ht="15" customHeight="1" x14ac:dyDescent="0.25">
      <c r="B781" s="67" t="s">
        <v>2446</v>
      </c>
      <c r="C781" s="105">
        <v>45509</v>
      </c>
      <c r="D781" s="23" t="s">
        <v>211</v>
      </c>
      <c r="E781" s="67"/>
      <c r="F781" s="12" t="s">
        <v>738</v>
      </c>
      <c r="G781" s="12"/>
      <c r="H781" s="67"/>
      <c r="I781" s="71"/>
      <c r="J781" s="72">
        <v>195</v>
      </c>
      <c r="K781" s="67" t="s">
        <v>17</v>
      </c>
      <c r="L781" s="73"/>
      <c r="M781" s="67" t="s">
        <v>31</v>
      </c>
    </row>
    <row r="782" spans="2:15" ht="15" customHeight="1" x14ac:dyDescent="0.25">
      <c r="B782" s="67" t="s">
        <v>2447</v>
      </c>
      <c r="C782" s="105">
        <v>45517</v>
      </c>
      <c r="D782" s="12" t="s">
        <v>2448</v>
      </c>
      <c r="E782" s="67"/>
      <c r="F782" s="12" t="s">
        <v>2449</v>
      </c>
      <c r="H782" s="67"/>
      <c r="I782" s="87"/>
      <c r="J782" s="72">
        <v>1755</v>
      </c>
      <c r="K782" s="67" t="s">
        <v>17</v>
      </c>
      <c r="L782" s="73"/>
      <c r="M782" s="67" t="s">
        <v>31</v>
      </c>
    </row>
    <row r="783" spans="2:15" ht="15" customHeight="1" x14ac:dyDescent="0.25">
      <c r="B783" s="67" t="s">
        <v>2450</v>
      </c>
      <c r="C783" s="105">
        <v>45509</v>
      </c>
      <c r="D783" s="12" t="s">
        <v>2436</v>
      </c>
      <c r="E783" s="67"/>
      <c r="F783" s="12" t="s">
        <v>780</v>
      </c>
      <c r="G783" s="12"/>
      <c r="H783" s="67"/>
      <c r="I783" s="71"/>
      <c r="J783" s="72">
        <v>2925</v>
      </c>
      <c r="K783" s="67" t="s">
        <v>17</v>
      </c>
      <c r="L783" s="73"/>
      <c r="M783" s="67" t="s">
        <v>18</v>
      </c>
    </row>
    <row r="784" spans="2:15" ht="15" customHeight="1" x14ac:dyDescent="0.25">
      <c r="B784" s="67" t="s">
        <v>2451</v>
      </c>
      <c r="C784" s="105">
        <v>45509</v>
      </c>
      <c r="D784" s="81" t="s">
        <v>2452</v>
      </c>
      <c r="E784" s="67"/>
      <c r="F784" s="12" t="s">
        <v>2453</v>
      </c>
      <c r="G784" s="12"/>
      <c r="H784" s="67"/>
      <c r="I784" s="71"/>
      <c r="J784" s="72">
        <v>10290</v>
      </c>
      <c r="K784" s="67" t="s">
        <v>17</v>
      </c>
      <c r="L784" s="73"/>
      <c r="M784" s="67" t="s">
        <v>18</v>
      </c>
      <c r="O784" s="7"/>
    </row>
    <row r="785" spans="2:15" s="15" customFormat="1" ht="15" customHeight="1" x14ac:dyDescent="0.25">
      <c r="B785" s="67" t="s">
        <v>2454</v>
      </c>
      <c r="C785" s="105">
        <v>45510</v>
      </c>
      <c r="D785" s="23" t="s">
        <v>2455</v>
      </c>
      <c r="E785" s="11"/>
      <c r="F785" s="23" t="s">
        <v>2456</v>
      </c>
      <c r="G785" s="23"/>
      <c r="H785" s="11"/>
      <c r="I785" s="24"/>
      <c r="J785" s="13">
        <v>696</v>
      </c>
      <c r="K785" s="11" t="s">
        <v>17</v>
      </c>
      <c r="L785" s="19"/>
      <c r="M785" s="11" t="s">
        <v>18</v>
      </c>
    </row>
    <row r="786" spans="2:15" ht="15" customHeight="1" x14ac:dyDescent="0.25">
      <c r="B786" s="67" t="s">
        <v>2457</v>
      </c>
      <c r="C786" s="105">
        <v>45510</v>
      </c>
      <c r="D786" s="12" t="s">
        <v>2281</v>
      </c>
      <c r="E786" s="67"/>
      <c r="F786" s="12" t="s">
        <v>2458</v>
      </c>
      <c r="G786" s="12"/>
      <c r="H786" s="67"/>
      <c r="I786" s="71"/>
      <c r="J786" s="72">
        <v>363</v>
      </c>
      <c r="K786" s="67" t="s">
        <v>17</v>
      </c>
      <c r="L786" s="73"/>
      <c r="M786" s="67" t="s">
        <v>31</v>
      </c>
    </row>
    <row r="787" spans="2:15" s="15" customFormat="1" ht="15" customHeight="1" x14ac:dyDescent="0.25">
      <c r="B787" s="67" t="s">
        <v>2459</v>
      </c>
      <c r="C787" s="105">
        <v>45512</v>
      </c>
      <c r="D787" s="23" t="s">
        <v>27</v>
      </c>
      <c r="E787" s="11"/>
      <c r="F787" s="23" t="s">
        <v>2441</v>
      </c>
      <c r="G787" s="23"/>
      <c r="H787" s="11"/>
      <c r="I787" s="24"/>
      <c r="J787" s="13">
        <v>15410</v>
      </c>
      <c r="K787" s="11" t="s">
        <v>17</v>
      </c>
      <c r="L787" s="19"/>
      <c r="M787" s="11" t="s">
        <v>31</v>
      </c>
    </row>
    <row r="788" spans="2:15" ht="15" customHeight="1" x14ac:dyDescent="0.25">
      <c r="B788" s="67" t="s">
        <v>2460</v>
      </c>
      <c r="C788" s="105">
        <v>45511</v>
      </c>
      <c r="D788" s="12" t="s">
        <v>2436</v>
      </c>
      <c r="E788" s="67"/>
      <c r="F788" s="12" t="s">
        <v>738</v>
      </c>
      <c r="G788" s="110"/>
      <c r="H788" s="67"/>
      <c r="I788" s="71"/>
      <c r="J788" s="72">
        <v>6510</v>
      </c>
      <c r="K788" s="67" t="s">
        <v>17</v>
      </c>
      <c r="L788" s="73"/>
      <c r="M788" s="67" t="s">
        <v>18</v>
      </c>
    </row>
    <row r="789" spans="2:15" ht="15" customHeight="1" x14ac:dyDescent="0.25">
      <c r="B789" s="67" t="s">
        <v>2461</v>
      </c>
      <c r="C789" s="105">
        <v>45511</v>
      </c>
      <c r="D789" s="12" t="s">
        <v>225</v>
      </c>
      <c r="E789" s="67"/>
      <c r="F789" s="12" t="s">
        <v>2428</v>
      </c>
      <c r="G789" s="12"/>
      <c r="H789" s="67"/>
      <c r="I789" s="71"/>
      <c r="J789" s="72">
        <v>252</v>
      </c>
      <c r="K789" s="67" t="s">
        <v>17</v>
      </c>
      <c r="L789" s="73"/>
      <c r="M789" s="67" t="s">
        <v>18</v>
      </c>
      <c r="O789" s="7"/>
    </row>
    <row r="790" spans="2:15" ht="15" customHeight="1" x14ac:dyDescent="0.25">
      <c r="B790" s="67" t="s">
        <v>2462</v>
      </c>
      <c r="C790" s="105">
        <v>45511</v>
      </c>
      <c r="D790" s="12" t="s">
        <v>2463</v>
      </c>
      <c r="E790" s="67"/>
      <c r="F790" s="98" t="s">
        <v>2449</v>
      </c>
      <c r="G790" s="12"/>
      <c r="H790" s="67"/>
      <c r="I790" s="87"/>
      <c r="J790" s="72">
        <v>4950</v>
      </c>
      <c r="K790" s="67" t="s">
        <v>17</v>
      </c>
      <c r="L790" s="73"/>
      <c r="M790" s="67" t="s">
        <v>18</v>
      </c>
    </row>
    <row r="791" spans="2:15" ht="15" customHeight="1" x14ac:dyDescent="0.25">
      <c r="B791" s="67" t="s">
        <v>2464</v>
      </c>
      <c r="C791" s="105">
        <v>45511</v>
      </c>
      <c r="D791" s="12" t="s">
        <v>1156</v>
      </c>
      <c r="E791" s="67"/>
      <c r="F791" s="12" t="s">
        <v>999</v>
      </c>
      <c r="G791" s="12"/>
      <c r="H791" s="67"/>
      <c r="I791" s="71"/>
      <c r="J791" s="72">
        <v>2375</v>
      </c>
      <c r="K791" s="67" t="s">
        <v>17</v>
      </c>
      <c r="L791" s="19"/>
      <c r="M791" s="11" t="s">
        <v>18</v>
      </c>
    </row>
    <row r="792" spans="2:15" ht="15" customHeight="1" x14ac:dyDescent="0.25">
      <c r="B792" s="67" t="s">
        <v>2465</v>
      </c>
      <c r="C792" s="105">
        <v>45512</v>
      </c>
      <c r="D792" s="12" t="s">
        <v>2466</v>
      </c>
      <c r="E792" s="67"/>
      <c r="F792" s="12" t="s">
        <v>2467</v>
      </c>
      <c r="G792" s="12"/>
      <c r="H792" s="67"/>
      <c r="I792" s="71"/>
      <c r="J792" s="72">
        <v>190</v>
      </c>
      <c r="K792" s="67" t="s">
        <v>17</v>
      </c>
      <c r="L792" s="73"/>
      <c r="M792" s="67" t="s">
        <v>18</v>
      </c>
    </row>
    <row r="793" spans="2:15" ht="15" customHeight="1" x14ac:dyDescent="0.25">
      <c r="B793" s="67" t="s">
        <v>2468</v>
      </c>
      <c r="C793" s="105">
        <v>45513</v>
      </c>
      <c r="D793" s="12" t="s">
        <v>2131</v>
      </c>
      <c r="E793" s="67"/>
      <c r="F793" s="12" t="s">
        <v>2469</v>
      </c>
      <c r="G793" s="12"/>
      <c r="H793" s="67"/>
      <c r="I793" s="71"/>
      <c r="J793" s="72">
        <v>2870</v>
      </c>
      <c r="K793" s="67" t="s">
        <v>17</v>
      </c>
      <c r="L793" s="73"/>
      <c r="M793" s="67" t="s">
        <v>31</v>
      </c>
    </row>
    <row r="794" spans="2:15" ht="15" customHeight="1" x14ac:dyDescent="0.25">
      <c r="B794" s="67" t="s">
        <v>2470</v>
      </c>
      <c r="C794" s="105">
        <v>45513</v>
      </c>
      <c r="D794" s="12" t="s">
        <v>346</v>
      </c>
      <c r="E794" s="67"/>
      <c r="F794" s="12" t="s">
        <v>2471</v>
      </c>
      <c r="G794" s="12"/>
      <c r="H794" s="67"/>
      <c r="I794" s="71"/>
      <c r="J794" s="72">
        <v>537.5</v>
      </c>
      <c r="K794" s="67" t="s">
        <v>17</v>
      </c>
      <c r="L794" s="73"/>
      <c r="M794" s="67" t="s">
        <v>31</v>
      </c>
      <c r="O794" s="7"/>
    </row>
    <row r="795" spans="2:15" ht="15" customHeight="1" x14ac:dyDescent="0.25">
      <c r="B795" s="67" t="s">
        <v>2472</v>
      </c>
      <c r="C795" s="105">
        <v>45517</v>
      </c>
      <c r="D795" s="12" t="s">
        <v>2473</v>
      </c>
      <c r="E795" s="67"/>
      <c r="F795" s="12" t="s">
        <v>2474</v>
      </c>
      <c r="G795" s="98"/>
      <c r="H795" s="67"/>
      <c r="I795" s="71"/>
      <c r="J795" s="72">
        <v>985</v>
      </c>
      <c r="K795" s="67" t="s">
        <v>17</v>
      </c>
      <c r="L795" s="73"/>
      <c r="M795" s="67" t="s">
        <v>18</v>
      </c>
      <c r="O795" s="7"/>
    </row>
    <row r="796" spans="2:15" ht="15" customHeight="1" x14ac:dyDescent="0.25">
      <c r="B796" s="67" t="s">
        <v>2475</v>
      </c>
      <c r="C796" s="105">
        <v>45517</v>
      </c>
      <c r="D796" s="12" t="s">
        <v>2038</v>
      </c>
      <c r="E796" s="67"/>
      <c r="F796" s="12" t="s">
        <v>2476</v>
      </c>
      <c r="G796" s="98"/>
      <c r="H796" s="67"/>
      <c r="I796" s="71"/>
      <c r="J796" s="111">
        <v>4600</v>
      </c>
      <c r="K796" s="112" t="s">
        <v>17</v>
      </c>
      <c r="L796" s="73"/>
      <c r="M796" s="112" t="s">
        <v>31</v>
      </c>
    </row>
    <row r="797" spans="2:15" ht="15" customHeight="1" x14ac:dyDescent="0.25">
      <c r="B797" s="67" t="s">
        <v>2477</v>
      </c>
      <c r="C797" s="105">
        <v>45517</v>
      </c>
      <c r="D797" s="12" t="s">
        <v>1459</v>
      </c>
      <c r="E797" s="67"/>
      <c r="F797" s="12" t="s">
        <v>2478</v>
      </c>
      <c r="G797" s="12"/>
      <c r="H797" s="67"/>
      <c r="I797" s="71"/>
      <c r="J797" s="111">
        <v>212.25</v>
      </c>
      <c r="K797" s="112" t="s">
        <v>17</v>
      </c>
      <c r="L797" s="73"/>
      <c r="M797" s="112" t="s">
        <v>31</v>
      </c>
    </row>
    <row r="798" spans="2:15" ht="15" customHeight="1" x14ac:dyDescent="0.25">
      <c r="B798" s="67" t="s">
        <v>2479</v>
      </c>
      <c r="C798" s="105">
        <v>45517</v>
      </c>
      <c r="D798" s="12" t="s">
        <v>2480</v>
      </c>
      <c r="E798" s="67"/>
      <c r="F798" s="98" t="s">
        <v>2481</v>
      </c>
      <c r="G798" s="12"/>
      <c r="H798" s="67"/>
      <c r="I798" s="71"/>
      <c r="J798" s="72">
        <v>2640</v>
      </c>
      <c r="K798" s="67" t="s">
        <v>17</v>
      </c>
      <c r="L798" s="73"/>
      <c r="M798" s="67" t="s">
        <v>31</v>
      </c>
    </row>
    <row r="799" spans="2:15" s="15" customFormat="1" ht="15" customHeight="1" x14ac:dyDescent="0.25">
      <c r="B799" s="11" t="s">
        <v>2482</v>
      </c>
      <c r="C799" s="105">
        <v>45518</v>
      </c>
      <c r="D799" s="23" t="s">
        <v>2480</v>
      </c>
      <c r="E799" s="11"/>
      <c r="F799" s="23" t="s">
        <v>2483</v>
      </c>
      <c r="G799" s="23"/>
      <c r="H799" s="11"/>
      <c r="I799" s="24"/>
      <c r="J799" s="74">
        <v>4537.5</v>
      </c>
      <c r="K799" s="11" t="s">
        <v>17</v>
      </c>
      <c r="L799" s="19"/>
      <c r="M799" s="11" t="s">
        <v>31</v>
      </c>
    </row>
    <row r="800" spans="2:15" ht="15" customHeight="1" x14ac:dyDescent="0.25">
      <c r="B800" s="67" t="s">
        <v>2484</v>
      </c>
      <c r="C800" s="105">
        <v>45518</v>
      </c>
      <c r="D800" s="12" t="s">
        <v>2480</v>
      </c>
      <c r="E800" s="67"/>
      <c r="F800" s="12" t="s">
        <v>2485</v>
      </c>
      <c r="G800" s="12"/>
      <c r="H800" s="67"/>
      <c r="I800" s="71"/>
      <c r="J800" s="72">
        <v>985</v>
      </c>
      <c r="K800" s="67" t="s">
        <v>17</v>
      </c>
      <c r="L800" s="73"/>
      <c r="M800" s="67" t="s">
        <v>2486</v>
      </c>
      <c r="O800" s="7"/>
    </row>
    <row r="801" spans="2:15" ht="15" customHeight="1" x14ac:dyDescent="0.25">
      <c r="B801" s="67" t="s">
        <v>2487</v>
      </c>
      <c r="C801" s="105">
        <v>45518</v>
      </c>
      <c r="D801" s="12" t="s">
        <v>1945</v>
      </c>
      <c r="E801" s="67"/>
      <c r="F801" s="12" t="s">
        <v>2488</v>
      </c>
      <c r="G801" s="98"/>
      <c r="H801" s="67"/>
      <c r="I801" s="87"/>
      <c r="J801" s="72">
        <v>8800</v>
      </c>
      <c r="K801" s="67" t="s">
        <v>17</v>
      </c>
      <c r="L801" s="73"/>
      <c r="M801" s="67" t="s">
        <v>18</v>
      </c>
    </row>
    <row r="802" spans="2:15" ht="15" customHeight="1" x14ac:dyDescent="0.25">
      <c r="B802" s="67" t="s">
        <v>2489</v>
      </c>
      <c r="C802" s="105">
        <v>45518</v>
      </c>
      <c r="D802" s="12" t="s">
        <v>2480</v>
      </c>
      <c r="E802" s="67"/>
      <c r="F802" s="12" t="s">
        <v>2490</v>
      </c>
      <c r="G802" s="12"/>
      <c r="H802" s="67"/>
      <c r="I802" s="71"/>
      <c r="J802" s="72">
        <v>5995</v>
      </c>
      <c r="K802" s="67" t="s">
        <v>17</v>
      </c>
      <c r="L802" s="73"/>
      <c r="M802" s="67" t="s">
        <v>31</v>
      </c>
    </row>
    <row r="803" spans="2:15" ht="15" customHeight="1" x14ac:dyDescent="0.25">
      <c r="B803" s="67" t="s">
        <v>2491</v>
      </c>
      <c r="C803" s="105">
        <v>45520</v>
      </c>
      <c r="D803" s="12" t="s">
        <v>2492</v>
      </c>
      <c r="E803" s="67"/>
      <c r="F803" s="12" t="s">
        <v>2493</v>
      </c>
      <c r="G803" s="12"/>
      <c r="H803" s="67"/>
      <c r="I803" s="71"/>
      <c r="J803" s="74">
        <v>10380</v>
      </c>
      <c r="K803" s="67" t="s">
        <v>17</v>
      </c>
      <c r="L803" s="73"/>
      <c r="M803" s="67" t="s">
        <v>31</v>
      </c>
    </row>
    <row r="804" spans="2:15" ht="15" customHeight="1" x14ac:dyDescent="0.25">
      <c r="B804" s="67" t="s">
        <v>2494</v>
      </c>
      <c r="C804" s="105">
        <v>45519</v>
      </c>
      <c r="D804" s="12" t="s">
        <v>2495</v>
      </c>
      <c r="E804" s="67"/>
      <c r="F804" s="12" t="s">
        <v>2496</v>
      </c>
      <c r="G804" s="12"/>
      <c r="H804" s="67"/>
      <c r="I804" s="71"/>
      <c r="J804" s="72">
        <v>13485</v>
      </c>
      <c r="K804" s="67" t="s">
        <v>17</v>
      </c>
      <c r="L804" s="73"/>
      <c r="M804" s="67" t="s">
        <v>18</v>
      </c>
    </row>
    <row r="805" spans="2:15" ht="15" customHeight="1" x14ac:dyDescent="0.25">
      <c r="B805" s="67" t="s">
        <v>2497</v>
      </c>
      <c r="C805" s="105">
        <v>45519</v>
      </c>
      <c r="D805" s="12" t="s">
        <v>2498</v>
      </c>
      <c r="E805" s="67"/>
      <c r="F805" s="12" t="s">
        <v>1431</v>
      </c>
      <c r="G805" s="12"/>
      <c r="H805" s="67"/>
      <c r="I805" s="71"/>
      <c r="J805" s="72">
        <v>19750</v>
      </c>
      <c r="K805" s="67" t="s">
        <v>17</v>
      </c>
      <c r="L805" s="73"/>
      <c r="M805" s="67" t="s">
        <v>18</v>
      </c>
    </row>
    <row r="806" spans="2:15" ht="15" customHeight="1" x14ac:dyDescent="0.25">
      <c r="B806" s="67" t="s">
        <v>2499</v>
      </c>
      <c r="C806" s="105">
        <v>45520</v>
      </c>
      <c r="D806" s="12" t="s">
        <v>2500</v>
      </c>
      <c r="E806" s="67"/>
      <c r="F806" s="12" t="s">
        <v>2501</v>
      </c>
      <c r="G806" s="98"/>
      <c r="H806" s="67"/>
      <c r="I806" s="71"/>
      <c r="J806" s="72">
        <f>1195+785</f>
        <v>1980</v>
      </c>
      <c r="K806" s="67" t="s">
        <v>17</v>
      </c>
      <c r="L806" s="73"/>
      <c r="M806" s="67" t="s">
        <v>18</v>
      </c>
      <c r="O806" s="7"/>
    </row>
    <row r="807" spans="2:15" ht="15" customHeight="1" x14ac:dyDescent="0.25">
      <c r="B807" s="67" t="s">
        <v>2502</v>
      </c>
      <c r="C807" s="105">
        <v>45520</v>
      </c>
      <c r="D807" s="31" t="s">
        <v>2480</v>
      </c>
      <c r="E807" s="67"/>
      <c r="F807" s="12" t="s">
        <v>2503</v>
      </c>
      <c r="G807" s="12"/>
      <c r="H807" s="67"/>
      <c r="I807" s="71"/>
      <c r="J807" s="72">
        <f>1125+465</f>
        <v>1590</v>
      </c>
      <c r="K807" s="67" t="s">
        <v>17</v>
      </c>
      <c r="L807" s="73"/>
      <c r="M807" s="67" t="s">
        <v>31</v>
      </c>
      <c r="O807" s="7"/>
    </row>
    <row r="808" spans="2:15" ht="15" customHeight="1" x14ac:dyDescent="0.25">
      <c r="B808" s="67" t="s">
        <v>2504</v>
      </c>
      <c r="C808" s="105">
        <v>45520</v>
      </c>
      <c r="D808" s="12" t="s">
        <v>2505</v>
      </c>
      <c r="E808" s="67"/>
      <c r="F808" s="12" t="s">
        <v>2493</v>
      </c>
      <c r="G808" s="98"/>
      <c r="H808" s="67"/>
      <c r="I808" s="71"/>
      <c r="J808" s="72">
        <v>795</v>
      </c>
      <c r="K808" s="67" t="s">
        <v>1874</v>
      </c>
      <c r="L808" s="73"/>
      <c r="M808" s="67" t="s">
        <v>18</v>
      </c>
      <c r="O808" s="7"/>
    </row>
    <row r="809" spans="2:15" s="15" customFormat="1" ht="15" customHeight="1" x14ac:dyDescent="0.25">
      <c r="B809" s="11" t="s">
        <v>2506</v>
      </c>
      <c r="C809" s="105">
        <v>45520</v>
      </c>
      <c r="D809" s="12" t="s">
        <v>2396</v>
      </c>
      <c r="E809" s="11"/>
      <c r="F809" s="23" t="s">
        <v>2507</v>
      </c>
      <c r="G809" s="23"/>
      <c r="H809" s="11"/>
      <c r="I809" s="24"/>
      <c r="J809" s="13">
        <v>3900</v>
      </c>
      <c r="K809" s="67" t="s">
        <v>1649</v>
      </c>
      <c r="L809" s="19"/>
      <c r="M809" s="11" t="s">
        <v>18</v>
      </c>
    </row>
    <row r="810" spans="2:15" s="15" customFormat="1" ht="15" customHeight="1" x14ac:dyDescent="0.25">
      <c r="B810" s="11" t="s">
        <v>2508</v>
      </c>
      <c r="C810" s="105">
        <v>45521</v>
      </c>
      <c r="D810" s="12" t="s">
        <v>2097</v>
      </c>
      <c r="E810" s="11"/>
      <c r="F810" s="23" t="s">
        <v>2509</v>
      </c>
      <c r="G810" s="23"/>
      <c r="H810" s="11"/>
      <c r="I810" s="24"/>
      <c r="J810" s="13">
        <v>525</v>
      </c>
      <c r="K810" s="67" t="s">
        <v>17</v>
      </c>
      <c r="L810" s="19"/>
      <c r="M810" s="11" t="s">
        <v>18</v>
      </c>
      <c r="O810" s="7"/>
    </row>
    <row r="811" spans="2:15" s="15" customFormat="1" ht="15" customHeight="1" x14ac:dyDescent="0.25">
      <c r="B811" s="11" t="s">
        <v>2510</v>
      </c>
      <c r="C811" s="105">
        <v>45521</v>
      </c>
      <c r="D811" s="12" t="s">
        <v>2511</v>
      </c>
      <c r="E811" s="11"/>
      <c r="F811" s="23" t="s">
        <v>780</v>
      </c>
      <c r="G811" s="23"/>
      <c r="H811" s="11"/>
      <c r="I811" s="24"/>
      <c r="J811" s="13">
        <v>2775</v>
      </c>
      <c r="K811" s="67" t="s">
        <v>17</v>
      </c>
      <c r="L811" s="19"/>
      <c r="M811" s="11" t="s">
        <v>18</v>
      </c>
    </row>
    <row r="812" spans="2:15" s="15" customFormat="1" ht="15" customHeight="1" x14ac:dyDescent="0.25">
      <c r="B812" s="11" t="s">
        <v>2512</v>
      </c>
      <c r="C812" s="105">
        <v>45521</v>
      </c>
      <c r="D812" s="12" t="s">
        <v>2513</v>
      </c>
      <c r="E812" s="11"/>
      <c r="F812" s="23" t="s">
        <v>2514</v>
      </c>
      <c r="G812" s="23"/>
      <c r="H812" s="11"/>
      <c r="I812" s="24"/>
      <c r="J812" s="13">
        <v>2585</v>
      </c>
      <c r="K812" s="67" t="s">
        <v>17</v>
      </c>
      <c r="L812" s="19"/>
      <c r="M812" s="11" t="s">
        <v>18</v>
      </c>
    </row>
    <row r="813" spans="2:15" s="15" customFormat="1" ht="15" customHeight="1" x14ac:dyDescent="0.25">
      <c r="B813" s="11" t="s">
        <v>2515</v>
      </c>
      <c r="C813" s="105">
        <v>45521</v>
      </c>
      <c r="D813" s="12" t="s">
        <v>1377</v>
      </c>
      <c r="E813" s="11"/>
      <c r="F813" s="23" t="s">
        <v>2516</v>
      </c>
      <c r="G813" s="23"/>
      <c r="H813" s="11"/>
      <c r="I813" s="24"/>
      <c r="J813" s="13">
        <v>5508.75</v>
      </c>
      <c r="K813" s="67" t="s">
        <v>17</v>
      </c>
      <c r="L813" s="19"/>
      <c r="M813" s="11" t="s">
        <v>18</v>
      </c>
    </row>
    <row r="814" spans="2:15" s="15" customFormat="1" ht="15" customHeight="1" x14ac:dyDescent="0.25">
      <c r="B814" s="11" t="s">
        <v>2517</v>
      </c>
      <c r="C814" s="105">
        <v>45524</v>
      </c>
      <c r="D814" s="12" t="s">
        <v>2518</v>
      </c>
      <c r="E814" s="11"/>
      <c r="F814" s="23" t="s">
        <v>2519</v>
      </c>
      <c r="G814" s="23"/>
      <c r="H814" s="11"/>
      <c r="I814" s="24"/>
      <c r="J814" s="13">
        <v>4375</v>
      </c>
      <c r="K814" s="67" t="s">
        <v>17</v>
      </c>
      <c r="L814" s="19"/>
      <c r="M814" s="11" t="s">
        <v>31</v>
      </c>
    </row>
    <row r="815" spans="2:15" s="15" customFormat="1" ht="15" customHeight="1" x14ac:dyDescent="0.25">
      <c r="B815" s="11" t="s">
        <v>2520</v>
      </c>
      <c r="C815" s="105">
        <v>45524</v>
      </c>
      <c r="D815" s="12" t="s">
        <v>1057</v>
      </c>
      <c r="E815" s="11"/>
      <c r="F815" s="23" t="s">
        <v>2521</v>
      </c>
      <c r="G815" s="23"/>
      <c r="H815" s="11"/>
      <c r="I815" s="24"/>
      <c r="J815" s="13">
        <v>925</v>
      </c>
      <c r="K815" s="67" t="s">
        <v>17</v>
      </c>
      <c r="L815" s="19"/>
      <c r="M815" s="11" t="s">
        <v>18</v>
      </c>
    </row>
    <row r="816" spans="2:15" s="15" customFormat="1" ht="15" customHeight="1" x14ac:dyDescent="0.25">
      <c r="B816" s="11" t="s">
        <v>2522</v>
      </c>
      <c r="C816" s="105">
        <v>45524</v>
      </c>
      <c r="D816" s="12" t="s">
        <v>564</v>
      </c>
      <c r="E816" s="11"/>
      <c r="F816" s="23" t="s">
        <v>2523</v>
      </c>
      <c r="G816" s="23"/>
      <c r="H816" s="11"/>
      <c r="I816" s="24"/>
      <c r="J816" s="13">
        <v>1080</v>
      </c>
      <c r="K816" s="67" t="s">
        <v>17</v>
      </c>
      <c r="L816" s="19"/>
      <c r="M816" s="11" t="s">
        <v>31</v>
      </c>
    </row>
    <row r="817" spans="2:13" s="15" customFormat="1" ht="15" customHeight="1" x14ac:dyDescent="0.25">
      <c r="B817" s="11" t="s">
        <v>2524</v>
      </c>
      <c r="C817" s="105">
        <v>45526</v>
      </c>
      <c r="D817" s="12" t="s">
        <v>305</v>
      </c>
      <c r="E817" s="11"/>
      <c r="F817" s="23" t="s">
        <v>2525</v>
      </c>
      <c r="G817" s="23"/>
      <c r="H817" s="11"/>
      <c r="I817" s="24"/>
      <c r="J817" s="13">
        <v>650</v>
      </c>
      <c r="K817" s="67" t="s">
        <v>17</v>
      </c>
      <c r="L817" s="19"/>
      <c r="M817" s="11" t="s">
        <v>31</v>
      </c>
    </row>
    <row r="818" spans="2:13" s="15" customFormat="1" ht="15" customHeight="1" x14ac:dyDescent="0.25">
      <c r="B818" s="11" t="s">
        <v>2526</v>
      </c>
      <c r="C818" s="105">
        <v>45524</v>
      </c>
      <c r="D818" s="12" t="s">
        <v>2480</v>
      </c>
      <c r="E818" s="11"/>
      <c r="F818" s="23" t="s">
        <v>2527</v>
      </c>
      <c r="G818" s="23"/>
      <c r="H818" s="11"/>
      <c r="I818" s="24"/>
      <c r="J818" s="13">
        <v>162.5</v>
      </c>
      <c r="K818" s="67" t="s">
        <v>17</v>
      </c>
      <c r="L818" s="19"/>
      <c r="M818" s="11" t="s">
        <v>31</v>
      </c>
    </row>
    <row r="819" spans="2:13" s="15" customFormat="1" ht="15" customHeight="1" x14ac:dyDescent="0.25">
      <c r="B819" s="11" t="s">
        <v>2528</v>
      </c>
      <c r="C819" s="105">
        <v>45524</v>
      </c>
      <c r="D819" s="12" t="s">
        <v>2529</v>
      </c>
      <c r="E819" s="11"/>
      <c r="F819" s="23" t="s">
        <v>2428</v>
      </c>
      <c r="G819" s="23"/>
      <c r="H819" s="11"/>
      <c r="I819" s="24"/>
      <c r="J819" s="13">
        <v>730</v>
      </c>
      <c r="K819" s="67" t="s">
        <v>17</v>
      </c>
      <c r="L819" s="19"/>
      <c r="M819" s="11" t="s">
        <v>31</v>
      </c>
    </row>
    <row r="820" spans="2:13" s="15" customFormat="1" ht="15" customHeight="1" x14ac:dyDescent="0.25">
      <c r="B820" s="11" t="s">
        <v>2530</v>
      </c>
      <c r="C820" s="105">
        <v>45524</v>
      </c>
      <c r="D820" s="12" t="s">
        <v>2012</v>
      </c>
      <c r="E820" s="11"/>
      <c r="F820" s="23" t="s">
        <v>2531</v>
      </c>
      <c r="G820" s="23"/>
      <c r="H820" s="11"/>
      <c r="I820" s="24"/>
      <c r="J820" s="13">
        <v>38852.5</v>
      </c>
      <c r="K820" s="67" t="s">
        <v>17</v>
      </c>
      <c r="L820" s="19"/>
      <c r="M820" s="11" t="s">
        <v>18</v>
      </c>
    </row>
    <row r="821" spans="2:13" s="15" customFormat="1" ht="15" customHeight="1" x14ac:dyDescent="0.25">
      <c r="B821" s="11" t="s">
        <v>2532</v>
      </c>
      <c r="C821" s="105">
        <v>45525</v>
      </c>
      <c r="D821" s="12" t="s">
        <v>2012</v>
      </c>
      <c r="E821" s="11"/>
      <c r="F821" s="23" t="s">
        <v>500</v>
      </c>
      <c r="G821" s="23"/>
      <c r="H821" s="11"/>
      <c r="I821" s="24"/>
      <c r="J821" s="13">
        <v>1785</v>
      </c>
      <c r="K821" s="67" t="s">
        <v>17</v>
      </c>
      <c r="L821" s="19"/>
      <c r="M821" s="11" t="s">
        <v>18</v>
      </c>
    </row>
    <row r="822" spans="2:13" s="15" customFormat="1" ht="15" customHeight="1" x14ac:dyDescent="0.25">
      <c r="B822" s="11" t="s">
        <v>2533</v>
      </c>
      <c r="C822" s="105">
        <v>45525</v>
      </c>
      <c r="D822" s="12" t="s">
        <v>2534</v>
      </c>
      <c r="E822" s="11"/>
      <c r="F822" s="23" t="s">
        <v>1756</v>
      </c>
      <c r="G822" s="23"/>
      <c r="H822" s="11"/>
      <c r="I822" s="24"/>
      <c r="J822" s="13">
        <v>300</v>
      </c>
      <c r="K822" s="67" t="s">
        <v>17</v>
      </c>
      <c r="L822" s="19"/>
      <c r="M822" s="11" t="s">
        <v>18</v>
      </c>
    </row>
    <row r="823" spans="2:13" s="15" customFormat="1" ht="15" customHeight="1" x14ac:dyDescent="0.25">
      <c r="B823" s="11" t="s">
        <v>2535</v>
      </c>
      <c r="C823" s="105">
        <v>45525</v>
      </c>
      <c r="D823" s="12" t="s">
        <v>2536</v>
      </c>
      <c r="E823" s="11"/>
      <c r="F823" s="23" t="s">
        <v>2537</v>
      </c>
      <c r="G823" s="23"/>
      <c r="H823" s="11"/>
      <c r="I823" s="24"/>
      <c r="J823" s="13">
        <v>562.5</v>
      </c>
      <c r="K823" s="67" t="s">
        <v>17</v>
      </c>
      <c r="L823" s="19"/>
      <c r="M823" s="11" t="s">
        <v>18</v>
      </c>
    </row>
    <row r="824" spans="2:13" s="15" customFormat="1" ht="15" customHeight="1" x14ac:dyDescent="0.25">
      <c r="B824" s="59" t="s">
        <v>2538</v>
      </c>
      <c r="C824" s="23"/>
      <c r="D824" s="23"/>
      <c r="E824" s="23"/>
      <c r="F824" s="23"/>
      <c r="G824" s="23"/>
      <c r="H824" s="23"/>
      <c r="I824" s="23"/>
      <c r="J824" s="23"/>
      <c r="K824" s="23"/>
      <c r="L824" s="23"/>
      <c r="M824" s="23"/>
    </row>
    <row r="825" spans="2:13" s="15" customFormat="1" ht="15" customHeight="1" x14ac:dyDescent="0.25">
      <c r="B825" s="67" t="s">
        <v>2538</v>
      </c>
      <c r="C825" s="106">
        <v>45527</v>
      </c>
      <c r="D825" s="23" t="s">
        <v>2273</v>
      </c>
      <c r="E825" s="23"/>
      <c r="F825" s="23" t="s">
        <v>2539</v>
      </c>
      <c r="G825" s="23"/>
      <c r="H825" s="23"/>
      <c r="I825" s="23"/>
      <c r="J825" s="24">
        <v>3435</v>
      </c>
      <c r="K825" s="67" t="s">
        <v>1649</v>
      </c>
      <c r="L825" s="23"/>
      <c r="M825" s="11" t="s">
        <v>18</v>
      </c>
    </row>
    <row r="826" spans="2:13" s="15" customFormat="1" ht="15" customHeight="1" x14ac:dyDescent="0.25">
      <c r="B826" s="11" t="s">
        <v>2540</v>
      </c>
      <c r="C826" s="105">
        <v>45525</v>
      </c>
      <c r="D826" s="12" t="s">
        <v>574</v>
      </c>
      <c r="E826" s="11"/>
      <c r="F826" s="23" t="s">
        <v>679</v>
      </c>
      <c r="G826" s="23"/>
      <c r="H826" s="11"/>
      <c r="I826" s="24"/>
      <c r="J826" s="74">
        <v>37800</v>
      </c>
      <c r="K826" s="67" t="s">
        <v>17</v>
      </c>
      <c r="L826" s="19"/>
      <c r="M826" s="11" t="s">
        <v>31</v>
      </c>
    </row>
    <row r="827" spans="2:13" s="15" customFormat="1" ht="15" customHeight="1" x14ac:dyDescent="0.25">
      <c r="B827" s="11" t="s">
        <v>2541</v>
      </c>
      <c r="C827" s="105">
        <v>45525</v>
      </c>
      <c r="D827" s="12" t="s">
        <v>2480</v>
      </c>
      <c r="E827" s="11"/>
      <c r="F827" s="23" t="s">
        <v>2542</v>
      </c>
      <c r="G827" s="23"/>
      <c r="H827" s="11"/>
      <c r="I827" s="24"/>
      <c r="J827" s="13">
        <v>1192.5</v>
      </c>
      <c r="K827" s="67" t="s">
        <v>17</v>
      </c>
      <c r="L827" s="19"/>
      <c r="M827" s="11" t="s">
        <v>31</v>
      </c>
    </row>
    <row r="828" spans="2:13" s="15" customFormat="1" ht="15" customHeight="1" x14ac:dyDescent="0.25">
      <c r="B828" s="11" t="s">
        <v>2543</v>
      </c>
      <c r="C828" s="105">
        <v>45526</v>
      </c>
      <c r="D828" s="12" t="s">
        <v>27</v>
      </c>
      <c r="E828" s="11"/>
      <c r="F828" s="23" t="s">
        <v>2544</v>
      </c>
      <c r="G828" s="23"/>
      <c r="H828" s="11"/>
      <c r="I828" s="24"/>
      <c r="J828" s="13">
        <v>2975</v>
      </c>
      <c r="K828" s="67" t="s">
        <v>17</v>
      </c>
      <c r="L828" s="19"/>
      <c r="M828" s="11" t="s">
        <v>31</v>
      </c>
    </row>
    <row r="829" spans="2:13" s="15" customFormat="1" ht="15" customHeight="1" x14ac:dyDescent="0.25">
      <c r="B829" s="11" t="s">
        <v>2545</v>
      </c>
      <c r="C829" s="105">
        <v>45526</v>
      </c>
      <c r="D829" s="12" t="s">
        <v>2546</v>
      </c>
      <c r="E829" s="11"/>
      <c r="F829" s="23" t="s">
        <v>2547</v>
      </c>
      <c r="G829" s="23"/>
      <c r="H829" s="11"/>
      <c r="I829" s="24"/>
      <c r="J829" s="74">
        <v>3770</v>
      </c>
      <c r="K829" s="67" t="s">
        <v>17</v>
      </c>
      <c r="L829" s="19"/>
      <c r="M829" s="11" t="s">
        <v>31</v>
      </c>
    </row>
    <row r="830" spans="2:13" s="15" customFormat="1" ht="15" customHeight="1" x14ac:dyDescent="0.25">
      <c r="B830" s="11" t="s">
        <v>2548</v>
      </c>
      <c r="C830" s="105"/>
      <c r="D830" s="12"/>
      <c r="E830" s="11"/>
      <c r="F830" s="23"/>
      <c r="G830" s="23"/>
      <c r="H830" s="11"/>
      <c r="I830" s="24"/>
      <c r="J830" s="13"/>
      <c r="K830" s="67"/>
      <c r="L830" s="19"/>
      <c r="M830" s="11"/>
    </row>
    <row r="831" spans="2:13" s="15" customFormat="1" ht="15" customHeight="1" x14ac:dyDescent="0.25">
      <c r="B831" s="11" t="s">
        <v>2549</v>
      </c>
      <c r="C831" s="105"/>
      <c r="D831" s="12"/>
      <c r="E831" s="11"/>
      <c r="F831" s="23"/>
      <c r="G831" s="23"/>
      <c r="H831" s="11"/>
      <c r="I831" s="24"/>
      <c r="J831" s="13"/>
      <c r="K831" s="67"/>
      <c r="L831" s="19"/>
      <c r="M831" s="11"/>
    </row>
    <row r="832" spans="2:13" s="15" customFormat="1" ht="15" customHeight="1" x14ac:dyDescent="0.25">
      <c r="B832" s="11" t="s">
        <v>2550</v>
      </c>
      <c r="C832" s="105"/>
      <c r="D832" s="12"/>
      <c r="E832" s="11"/>
      <c r="F832" s="23"/>
      <c r="G832" s="23"/>
      <c r="H832" s="11"/>
      <c r="I832" s="24"/>
      <c r="J832" s="13"/>
      <c r="K832" s="67"/>
      <c r="L832" s="19"/>
      <c r="M832" s="11"/>
    </row>
    <row r="833" spans="2:13" s="15" customFormat="1" ht="15" customHeight="1" x14ac:dyDescent="0.25">
      <c r="B833" s="11" t="s">
        <v>2548</v>
      </c>
      <c r="C833" s="105">
        <v>45526</v>
      </c>
      <c r="D833" s="12" t="s">
        <v>2551</v>
      </c>
      <c r="E833" s="11"/>
      <c r="F833" s="23" t="s">
        <v>2552</v>
      </c>
      <c r="G833" s="23"/>
      <c r="H833" s="11"/>
      <c r="I833" s="24"/>
      <c r="J833" s="13">
        <v>860</v>
      </c>
      <c r="K833" s="67" t="s">
        <v>1649</v>
      </c>
      <c r="L833" s="19"/>
      <c r="M833" s="11" t="s">
        <v>18</v>
      </c>
    </row>
    <row r="834" spans="2:13" s="15" customFormat="1" ht="15" customHeight="1" x14ac:dyDescent="0.25">
      <c r="B834" s="11" t="s">
        <v>2549</v>
      </c>
      <c r="C834" s="105">
        <v>45526</v>
      </c>
      <c r="D834" s="12" t="s">
        <v>2336</v>
      </c>
      <c r="E834" s="11"/>
      <c r="F834" s="23" t="s">
        <v>2553</v>
      </c>
      <c r="G834" s="23"/>
      <c r="H834" s="11"/>
      <c r="I834" s="24"/>
      <c r="J834" s="13">
        <v>3565</v>
      </c>
      <c r="K834" s="67" t="s">
        <v>1649</v>
      </c>
      <c r="L834" s="19"/>
      <c r="M834" s="11" t="s">
        <v>18</v>
      </c>
    </row>
    <row r="835" spans="2:13" s="15" customFormat="1" ht="15" customHeight="1" x14ac:dyDescent="0.25">
      <c r="B835" s="11" t="s">
        <v>2550</v>
      </c>
      <c r="C835" s="105">
        <v>45527</v>
      </c>
      <c r="D835" s="12" t="s">
        <v>2554</v>
      </c>
      <c r="E835" s="11"/>
      <c r="F835" s="23" t="s">
        <v>874</v>
      </c>
      <c r="G835" s="23"/>
      <c r="H835" s="11"/>
      <c r="I835" s="24"/>
      <c r="J835" s="74">
        <v>425</v>
      </c>
      <c r="K835" s="67" t="s">
        <v>17</v>
      </c>
      <c r="L835" s="19"/>
      <c r="M835" s="11" t="s">
        <v>31</v>
      </c>
    </row>
    <row r="836" spans="2:13" s="15" customFormat="1" ht="15" customHeight="1" x14ac:dyDescent="0.25">
      <c r="B836" s="11" t="s">
        <v>2555</v>
      </c>
      <c r="C836" s="105">
        <v>45527</v>
      </c>
      <c r="D836" s="12" t="s">
        <v>2254</v>
      </c>
      <c r="E836" s="11"/>
      <c r="F836" s="23" t="s">
        <v>2556</v>
      </c>
      <c r="G836" s="23"/>
      <c r="H836" s="11"/>
      <c r="I836" s="24"/>
      <c r="J836" s="13">
        <f>875+1937.5</f>
        <v>2812.5</v>
      </c>
      <c r="K836" s="67" t="s">
        <v>17</v>
      </c>
      <c r="L836" s="19"/>
      <c r="M836" s="11" t="s">
        <v>31</v>
      </c>
    </row>
    <row r="837" spans="2:13" s="15" customFormat="1" ht="15" customHeight="1" x14ac:dyDescent="0.25">
      <c r="B837" s="11" t="s">
        <v>2557</v>
      </c>
      <c r="C837" s="105">
        <v>45528</v>
      </c>
      <c r="D837" s="12" t="s">
        <v>2558</v>
      </c>
      <c r="E837" s="11"/>
      <c r="F837" s="23" t="s">
        <v>1226</v>
      </c>
      <c r="G837" s="23"/>
      <c r="H837" s="11"/>
      <c r="I837" s="24"/>
      <c r="J837" s="13">
        <v>20050</v>
      </c>
      <c r="K837" s="67" t="s">
        <v>17</v>
      </c>
      <c r="L837" s="19"/>
      <c r="M837" s="11" t="s">
        <v>31</v>
      </c>
    </row>
    <row r="838" spans="2:13" s="15" customFormat="1" ht="15" customHeight="1" x14ac:dyDescent="0.25">
      <c r="B838" s="11" t="s">
        <v>2559</v>
      </c>
      <c r="C838" s="105">
        <v>45530</v>
      </c>
      <c r="D838" s="12" t="s">
        <v>2560</v>
      </c>
      <c r="E838" s="11"/>
      <c r="F838" s="23" t="s">
        <v>2561</v>
      </c>
      <c r="G838" s="23"/>
      <c r="H838" s="11"/>
      <c r="I838" s="24"/>
      <c r="J838" s="13">
        <v>1290</v>
      </c>
      <c r="K838" s="67" t="s">
        <v>17</v>
      </c>
      <c r="L838" s="19"/>
      <c r="M838" s="11" t="s">
        <v>31</v>
      </c>
    </row>
    <row r="839" spans="2:13" s="15" customFormat="1" ht="15" customHeight="1" x14ac:dyDescent="0.25">
      <c r="B839" s="11" t="s">
        <v>2562</v>
      </c>
      <c r="C839" s="105">
        <v>45530</v>
      </c>
      <c r="D839" s="12" t="s">
        <v>2563</v>
      </c>
      <c r="E839" s="11"/>
      <c r="F839" s="23" t="s">
        <v>2428</v>
      </c>
      <c r="G839" s="23"/>
      <c r="H839" s="11"/>
      <c r="I839" s="24"/>
      <c r="J839" s="74">
        <v>645</v>
      </c>
      <c r="K839" s="67" t="s">
        <v>17</v>
      </c>
      <c r="L839" s="19"/>
      <c r="M839" s="11" t="s">
        <v>31</v>
      </c>
    </row>
    <row r="840" spans="2:13" s="15" customFormat="1" ht="15" customHeight="1" x14ac:dyDescent="0.25">
      <c r="B840" s="11" t="s">
        <v>2564</v>
      </c>
      <c r="C840" s="105">
        <v>45530</v>
      </c>
      <c r="D840" s="12" t="s">
        <v>2480</v>
      </c>
      <c r="E840" s="11"/>
      <c r="F840" s="23" t="s">
        <v>2565</v>
      </c>
      <c r="G840" s="23"/>
      <c r="H840" s="11"/>
      <c r="I840" s="24"/>
      <c r="J840" s="13">
        <v>30000</v>
      </c>
      <c r="K840" s="67" t="s">
        <v>17</v>
      </c>
      <c r="L840" s="19"/>
      <c r="M840" s="11" t="s">
        <v>18</v>
      </c>
    </row>
    <row r="841" spans="2:13" s="15" customFormat="1" ht="15" customHeight="1" x14ac:dyDescent="0.25">
      <c r="B841" s="11" t="s">
        <v>2566</v>
      </c>
      <c r="C841" s="105">
        <v>45530</v>
      </c>
      <c r="D841" s="12" t="s">
        <v>2480</v>
      </c>
      <c r="E841" s="11"/>
      <c r="F841" s="23" t="s">
        <v>2567</v>
      </c>
      <c r="G841" s="23"/>
      <c r="H841" s="11"/>
      <c r="I841" s="24"/>
      <c r="J841" s="72">
        <v>2425</v>
      </c>
      <c r="K841" s="67" t="s">
        <v>17</v>
      </c>
      <c r="L841" s="19"/>
      <c r="M841" s="11" t="s">
        <v>18</v>
      </c>
    </row>
    <row r="842" spans="2:13" s="15" customFormat="1" ht="15" customHeight="1" x14ac:dyDescent="0.25">
      <c r="B842" s="11" t="s">
        <v>2568</v>
      </c>
      <c r="C842" s="105">
        <v>45530</v>
      </c>
      <c r="D842" s="12" t="s">
        <v>2480</v>
      </c>
      <c r="E842" s="11"/>
      <c r="F842" s="23" t="s">
        <v>2569</v>
      </c>
      <c r="G842" s="23"/>
      <c r="H842" s="11"/>
      <c r="I842" s="24"/>
      <c r="J842" s="74">
        <v>1925</v>
      </c>
      <c r="K842" s="67" t="s">
        <v>17</v>
      </c>
      <c r="L842" s="19"/>
      <c r="M842" s="11" t="s">
        <v>31</v>
      </c>
    </row>
    <row r="843" spans="2:13" s="15" customFormat="1" ht="15" customHeight="1" x14ac:dyDescent="0.25">
      <c r="B843" s="11" t="s">
        <v>2570</v>
      </c>
      <c r="C843" s="105">
        <v>45530</v>
      </c>
      <c r="D843" s="12" t="s">
        <v>2480</v>
      </c>
      <c r="E843" s="11"/>
      <c r="F843" s="23" t="s">
        <v>2571</v>
      </c>
      <c r="G843" s="23"/>
      <c r="H843" s="11"/>
      <c r="I843" s="24"/>
      <c r="J843" s="13">
        <v>2934.5</v>
      </c>
      <c r="K843" s="67" t="s">
        <v>17</v>
      </c>
      <c r="L843" s="19"/>
      <c r="M843" s="11" t="s">
        <v>31</v>
      </c>
    </row>
    <row r="844" spans="2:13" s="15" customFormat="1" ht="15" customHeight="1" x14ac:dyDescent="0.25">
      <c r="B844" s="11" t="s">
        <v>2572</v>
      </c>
      <c r="C844" s="105">
        <v>45531</v>
      </c>
      <c r="D844" s="12" t="s">
        <v>2480</v>
      </c>
      <c r="E844" s="11"/>
      <c r="F844" s="23" t="s">
        <v>2573</v>
      </c>
      <c r="G844" s="23"/>
      <c r="H844" s="11"/>
      <c r="I844" s="24"/>
      <c r="J844" s="13">
        <v>285</v>
      </c>
      <c r="K844" s="67" t="s">
        <v>17</v>
      </c>
      <c r="L844" s="19"/>
      <c r="M844" s="11" t="s">
        <v>18</v>
      </c>
    </row>
    <row r="845" spans="2:13" s="15" customFormat="1" ht="15" customHeight="1" x14ac:dyDescent="0.25">
      <c r="B845" s="11" t="s">
        <v>2574</v>
      </c>
      <c r="C845" s="105">
        <v>45531</v>
      </c>
      <c r="D845" s="12" t="s">
        <v>2575</v>
      </c>
      <c r="E845" s="11"/>
      <c r="F845" s="23" t="s">
        <v>2428</v>
      </c>
      <c r="G845" s="23"/>
      <c r="H845" s="11"/>
      <c r="I845" s="24"/>
      <c r="J845" s="13">
        <v>675</v>
      </c>
      <c r="K845" s="67" t="s">
        <v>17</v>
      </c>
      <c r="L845" s="19"/>
      <c r="M845" s="11" t="s">
        <v>31</v>
      </c>
    </row>
    <row r="846" spans="2:13" s="15" customFormat="1" ht="15" customHeight="1" x14ac:dyDescent="0.25">
      <c r="B846" s="11" t="s">
        <v>2576</v>
      </c>
      <c r="C846" s="105">
        <v>45531</v>
      </c>
      <c r="D846" s="12" t="s">
        <v>2480</v>
      </c>
      <c r="E846" s="11"/>
      <c r="F846" s="23" t="s">
        <v>2577</v>
      </c>
      <c r="G846" s="23"/>
      <c r="H846" s="11"/>
      <c r="I846" s="24"/>
      <c r="J846" s="13">
        <v>1065</v>
      </c>
      <c r="K846" s="67" t="s">
        <v>17</v>
      </c>
      <c r="L846" s="19"/>
      <c r="M846" s="11" t="s">
        <v>18</v>
      </c>
    </row>
    <row r="847" spans="2:13" s="15" customFormat="1" ht="15" customHeight="1" x14ac:dyDescent="0.25">
      <c r="B847" s="11" t="s">
        <v>2578</v>
      </c>
      <c r="C847" s="105">
        <v>45531</v>
      </c>
      <c r="D847" s="12" t="s">
        <v>2480</v>
      </c>
      <c r="E847" s="11"/>
      <c r="F847" s="23" t="s">
        <v>2579</v>
      </c>
      <c r="G847" s="23"/>
      <c r="H847" s="11"/>
      <c r="I847" s="24"/>
      <c r="J847" s="13">
        <v>38662.5</v>
      </c>
      <c r="K847" s="67" t="s">
        <v>17</v>
      </c>
      <c r="L847" s="19"/>
      <c r="M847" s="11" t="s">
        <v>18</v>
      </c>
    </row>
    <row r="848" spans="2:13" s="15" customFormat="1" ht="15" customHeight="1" x14ac:dyDescent="0.25">
      <c r="B848" s="11" t="s">
        <v>2580</v>
      </c>
      <c r="C848" s="105">
        <v>45531</v>
      </c>
      <c r="D848" s="12" t="s">
        <v>1359</v>
      </c>
      <c r="E848" s="11"/>
      <c r="F848" s="23" t="s">
        <v>2428</v>
      </c>
      <c r="G848" s="23"/>
      <c r="H848" s="11"/>
      <c r="I848" s="24"/>
      <c r="J848" s="74">
        <v>210</v>
      </c>
      <c r="K848" s="67" t="s">
        <v>17</v>
      </c>
      <c r="L848" s="19"/>
      <c r="M848" s="11" t="s">
        <v>31</v>
      </c>
    </row>
    <row r="849" spans="2:13" s="15" customFormat="1" ht="15" customHeight="1" x14ac:dyDescent="0.25">
      <c r="B849" s="11" t="s">
        <v>2581</v>
      </c>
      <c r="C849" s="105">
        <v>45531</v>
      </c>
      <c r="D849" s="12" t="s">
        <v>2563</v>
      </c>
      <c r="E849" s="11"/>
      <c r="F849" s="23" t="s">
        <v>2582</v>
      </c>
      <c r="G849" s="23"/>
      <c r="H849" s="11"/>
      <c r="I849" s="24"/>
      <c r="J849" s="74">
        <v>1082.5</v>
      </c>
      <c r="K849" s="67" t="s">
        <v>17</v>
      </c>
      <c r="L849" s="19"/>
      <c r="M849" s="11" t="s">
        <v>31</v>
      </c>
    </row>
    <row r="850" spans="2:13" s="15" customFormat="1" ht="15" customHeight="1" x14ac:dyDescent="0.25">
      <c r="B850" s="11" t="s">
        <v>2583</v>
      </c>
      <c r="C850" s="105">
        <v>45532</v>
      </c>
      <c r="D850" s="12" t="s">
        <v>2584</v>
      </c>
      <c r="E850" s="11"/>
      <c r="F850" s="23" t="s">
        <v>2585</v>
      </c>
      <c r="G850" s="23"/>
      <c r="H850" s="11"/>
      <c r="I850" s="24"/>
      <c r="J850" s="72">
        <v>2635.5</v>
      </c>
      <c r="K850" s="67" t="s">
        <v>17</v>
      </c>
      <c r="L850" s="19"/>
      <c r="M850" s="67" t="s">
        <v>18</v>
      </c>
    </row>
    <row r="851" spans="2:13" s="15" customFormat="1" ht="15" customHeight="1" x14ac:dyDescent="0.25">
      <c r="B851" s="11" t="s">
        <v>2586</v>
      </c>
      <c r="C851" s="105">
        <v>45532</v>
      </c>
      <c r="D851" s="12" t="s">
        <v>564</v>
      </c>
      <c r="E851" s="11"/>
      <c r="F851" s="23" t="s">
        <v>2587</v>
      </c>
      <c r="G851" s="23"/>
      <c r="H851" s="11"/>
      <c r="I851" s="24"/>
      <c r="J851" s="72">
        <v>8450</v>
      </c>
      <c r="K851" s="67" t="s">
        <v>17</v>
      </c>
      <c r="L851" s="19"/>
      <c r="M851" s="67" t="s">
        <v>18</v>
      </c>
    </row>
    <row r="852" spans="2:13" s="15" customFormat="1" ht="15" customHeight="1" x14ac:dyDescent="0.25">
      <c r="B852" s="11" t="s">
        <v>2588</v>
      </c>
      <c r="C852" s="105">
        <v>45532</v>
      </c>
      <c r="D852" s="12" t="s">
        <v>463</v>
      </c>
      <c r="E852" s="11"/>
      <c r="F852" s="23" t="s">
        <v>2589</v>
      </c>
      <c r="G852" s="23"/>
      <c r="H852" s="11"/>
      <c r="I852" s="24"/>
      <c r="J852" s="72">
        <v>4425</v>
      </c>
      <c r="K852" s="67" t="s">
        <v>17</v>
      </c>
      <c r="L852" s="19"/>
      <c r="M852" s="67" t="s">
        <v>31</v>
      </c>
    </row>
    <row r="853" spans="2:13" s="15" customFormat="1" ht="15" customHeight="1" x14ac:dyDescent="0.25">
      <c r="B853" s="11" t="s">
        <v>2590</v>
      </c>
      <c r="C853" s="105">
        <v>45532</v>
      </c>
      <c r="D853" s="12" t="s">
        <v>1057</v>
      </c>
      <c r="E853" s="11"/>
      <c r="F853" s="23" t="s">
        <v>2591</v>
      </c>
      <c r="G853" s="23"/>
      <c r="H853" s="11"/>
      <c r="I853" s="24"/>
      <c r="J853" s="113">
        <v>5522.5</v>
      </c>
      <c r="K853" s="67" t="s">
        <v>17</v>
      </c>
      <c r="L853" s="19"/>
      <c r="M853" s="67" t="s">
        <v>18</v>
      </c>
    </row>
    <row r="854" spans="2:13" s="15" customFormat="1" ht="15" customHeight="1" x14ac:dyDescent="0.25">
      <c r="B854" s="11" t="s">
        <v>2592</v>
      </c>
      <c r="C854" s="105">
        <v>45533</v>
      </c>
      <c r="D854" s="12" t="s">
        <v>463</v>
      </c>
      <c r="E854" s="11"/>
      <c r="F854" s="23" t="s">
        <v>2593</v>
      </c>
      <c r="G854" s="23"/>
      <c r="H854" s="11"/>
      <c r="I854" s="24"/>
      <c r="J854" s="113">
        <v>4425</v>
      </c>
      <c r="K854" s="67" t="s">
        <v>17</v>
      </c>
      <c r="L854" s="19"/>
      <c r="M854" s="67" t="s">
        <v>31</v>
      </c>
    </row>
    <row r="855" spans="2:13" s="15" customFormat="1" ht="15" customHeight="1" x14ac:dyDescent="0.25">
      <c r="B855" s="11" t="s">
        <v>2594</v>
      </c>
      <c r="C855" s="105">
        <v>45535</v>
      </c>
      <c r="D855" s="12" t="s">
        <v>503</v>
      </c>
      <c r="E855" s="11"/>
      <c r="F855" s="23" t="s">
        <v>322</v>
      </c>
      <c r="G855" s="23"/>
      <c r="H855" s="11"/>
      <c r="I855" s="24"/>
      <c r="J855" s="113">
        <v>225</v>
      </c>
      <c r="K855" s="67" t="s">
        <v>17</v>
      </c>
      <c r="L855" s="19"/>
      <c r="M855" s="67" t="s">
        <v>18</v>
      </c>
    </row>
    <row r="856" spans="2:13" s="15" customFormat="1" ht="15" customHeight="1" x14ac:dyDescent="0.25">
      <c r="B856" s="11" t="s">
        <v>2595</v>
      </c>
      <c r="C856" s="105">
        <v>45533</v>
      </c>
      <c r="D856" s="12" t="s">
        <v>325</v>
      </c>
      <c r="E856" s="11"/>
      <c r="F856" s="23" t="s">
        <v>976</v>
      </c>
      <c r="G856" s="23"/>
      <c r="H856" s="11"/>
      <c r="I856" s="24"/>
      <c r="J856" s="113">
        <v>375</v>
      </c>
      <c r="K856" s="67" t="s">
        <v>17</v>
      </c>
      <c r="L856" s="19"/>
      <c r="M856" s="67" t="s">
        <v>18</v>
      </c>
    </row>
    <row r="857" spans="2:13" s="15" customFormat="1" ht="15" customHeight="1" x14ac:dyDescent="0.25">
      <c r="B857" s="11" t="s">
        <v>2596</v>
      </c>
      <c r="C857" s="105">
        <v>45533</v>
      </c>
      <c r="D857" s="12" t="s">
        <v>2597</v>
      </c>
      <c r="E857" s="11"/>
      <c r="F857" s="23" t="s">
        <v>2598</v>
      </c>
      <c r="G857" s="23"/>
      <c r="H857" s="11"/>
      <c r="I857" s="24"/>
      <c r="J857" s="113">
        <v>537.5</v>
      </c>
      <c r="K857" s="67" t="s">
        <v>17</v>
      </c>
      <c r="L857" s="19"/>
      <c r="M857" s="67" t="s">
        <v>18</v>
      </c>
    </row>
    <row r="858" spans="2:13" s="15" customFormat="1" ht="15" customHeight="1" x14ac:dyDescent="0.25">
      <c r="B858" s="11" t="s">
        <v>2599</v>
      </c>
      <c r="C858" s="105">
        <v>45533</v>
      </c>
      <c r="D858" s="12" t="s">
        <v>2600</v>
      </c>
      <c r="E858" s="11"/>
      <c r="F858" s="23" t="s">
        <v>2601</v>
      </c>
      <c r="G858" s="23"/>
      <c r="H858" s="11"/>
      <c r="I858" s="24"/>
      <c r="J858" s="72">
        <v>375</v>
      </c>
      <c r="K858" s="67" t="s">
        <v>17</v>
      </c>
      <c r="L858" s="19"/>
      <c r="M858" s="67" t="s">
        <v>31</v>
      </c>
    </row>
    <row r="859" spans="2:13" s="15" customFormat="1" ht="15" customHeight="1" x14ac:dyDescent="0.25">
      <c r="B859" s="11" t="s">
        <v>2599</v>
      </c>
      <c r="C859" s="105">
        <v>45533</v>
      </c>
      <c r="D859" t="s">
        <v>1060</v>
      </c>
      <c r="E859" s="11"/>
      <c r="F859" t="s">
        <v>2602</v>
      </c>
      <c r="G859" s="23"/>
      <c r="H859" s="11"/>
      <c r="I859" s="24"/>
      <c r="J859" s="72">
        <v>375</v>
      </c>
      <c r="K859" s="67" t="s">
        <v>17</v>
      </c>
      <c r="L859" s="19"/>
      <c r="M859" s="67" t="s">
        <v>31</v>
      </c>
    </row>
    <row r="860" spans="2:13" s="15" customFormat="1" ht="15" customHeight="1" x14ac:dyDescent="0.25">
      <c r="B860" s="11" t="s">
        <v>2603</v>
      </c>
      <c r="C860" s="105">
        <v>45533</v>
      </c>
      <c r="D860" s="12" t="s">
        <v>2604</v>
      </c>
      <c r="E860" s="11"/>
      <c r="F860" s="23" t="s">
        <v>2605</v>
      </c>
      <c r="G860" s="23"/>
      <c r="H860" s="11"/>
      <c r="I860" s="24"/>
      <c r="J860" s="113">
        <v>185</v>
      </c>
      <c r="K860" s="67" t="s">
        <v>17</v>
      </c>
      <c r="L860" s="19"/>
      <c r="M860" s="67" t="s">
        <v>18</v>
      </c>
    </row>
    <row r="861" spans="2:13" s="15" customFormat="1" ht="15" customHeight="1" x14ac:dyDescent="0.25">
      <c r="B861" s="11" t="s">
        <v>2606</v>
      </c>
      <c r="C861" s="105">
        <v>45533</v>
      </c>
      <c r="D861" s="12" t="s">
        <v>2600</v>
      </c>
      <c r="E861" s="11"/>
      <c r="F861" s="23" t="s">
        <v>2607</v>
      </c>
      <c r="G861" s="23"/>
      <c r="H861" s="11"/>
      <c r="I861" s="24"/>
      <c r="J861" s="113">
        <v>95</v>
      </c>
      <c r="K861" s="67" t="s">
        <v>17</v>
      </c>
      <c r="L861" s="19"/>
      <c r="M861" s="67" t="s">
        <v>31</v>
      </c>
    </row>
    <row r="862" spans="2:13" s="15" customFormat="1" ht="15" customHeight="1" x14ac:dyDescent="0.25">
      <c r="B862" s="11" t="s">
        <v>2608</v>
      </c>
      <c r="C862" s="105">
        <v>45533</v>
      </c>
      <c r="D862" s="12" t="s">
        <v>1057</v>
      </c>
      <c r="E862" s="11"/>
      <c r="F862" s="23" t="s">
        <v>2609</v>
      </c>
      <c r="G862" s="23"/>
      <c r="H862" s="11"/>
      <c r="I862" s="24"/>
      <c r="J862" s="114">
        <v>9462.5</v>
      </c>
      <c r="K862" s="67" t="s">
        <v>17</v>
      </c>
      <c r="L862" s="19"/>
      <c r="M862" s="11" t="s">
        <v>18</v>
      </c>
    </row>
    <row r="863" spans="2:13" s="15" customFormat="1" ht="15" customHeight="1" x14ac:dyDescent="0.25">
      <c r="B863" s="11" t="s">
        <v>2610</v>
      </c>
      <c r="C863" s="105">
        <v>45533</v>
      </c>
      <c r="D863" s="12" t="s">
        <v>241</v>
      </c>
      <c r="E863" s="11"/>
      <c r="F863" s="23" t="s">
        <v>2611</v>
      </c>
      <c r="G863" s="23"/>
      <c r="H863" s="11"/>
      <c r="I863" s="24"/>
      <c r="J863" s="13">
        <v>144</v>
      </c>
      <c r="K863" s="67" t="s">
        <v>17</v>
      </c>
      <c r="L863" s="19"/>
      <c r="M863" s="11" t="s">
        <v>31</v>
      </c>
    </row>
    <row r="864" spans="2:13" s="15" customFormat="1" ht="15" customHeight="1" x14ac:dyDescent="0.25">
      <c r="B864" s="11" t="s">
        <v>2612</v>
      </c>
      <c r="C864" s="105">
        <v>45533</v>
      </c>
      <c r="D864" s="12" t="s">
        <v>2613</v>
      </c>
      <c r="E864" s="11"/>
      <c r="F864" s="23" t="s">
        <v>1374</v>
      </c>
      <c r="G864" s="23"/>
      <c r="H864" s="11"/>
      <c r="I864" s="24"/>
      <c r="J864" s="114">
        <v>2665</v>
      </c>
      <c r="K864" s="67" t="s">
        <v>17</v>
      </c>
      <c r="L864" s="19"/>
      <c r="M864" s="11" t="s">
        <v>18</v>
      </c>
    </row>
    <row r="865" spans="2:13" s="15" customFormat="1" ht="15" customHeight="1" x14ac:dyDescent="0.25">
      <c r="B865" s="11" t="s">
        <v>2614</v>
      </c>
      <c r="C865" s="105">
        <v>45533</v>
      </c>
      <c r="D865" s="12" t="s">
        <v>1118</v>
      </c>
      <c r="E865" s="11"/>
      <c r="F865" s="23" t="s">
        <v>2615</v>
      </c>
      <c r="G865" s="23"/>
      <c r="H865" s="11"/>
      <c r="I865" s="24"/>
      <c r="J865" s="13">
        <v>325</v>
      </c>
      <c r="K865" s="67" t="s">
        <v>17</v>
      </c>
      <c r="L865" s="19"/>
      <c r="M865" s="11" t="s">
        <v>31</v>
      </c>
    </row>
    <row r="866" spans="2:13" s="15" customFormat="1" ht="15" customHeight="1" x14ac:dyDescent="0.25">
      <c r="B866" s="11" t="s">
        <v>2616</v>
      </c>
      <c r="C866" s="105">
        <v>45533</v>
      </c>
      <c r="D866" s="12" t="s">
        <v>2617</v>
      </c>
      <c r="E866" s="11"/>
      <c r="F866" s="23" t="s">
        <v>2618</v>
      </c>
      <c r="G866" s="23"/>
      <c r="H866" s="11"/>
      <c r="I866" s="24"/>
      <c r="J866" s="13">
        <v>895</v>
      </c>
      <c r="K866" s="67" t="s">
        <v>17</v>
      </c>
      <c r="L866" s="19"/>
      <c r="M866" s="11" t="s">
        <v>31</v>
      </c>
    </row>
    <row r="867" spans="2:13" s="15" customFormat="1" ht="15" customHeight="1" x14ac:dyDescent="0.25">
      <c r="B867" s="11" t="s">
        <v>2619</v>
      </c>
      <c r="C867" s="105">
        <v>45534</v>
      </c>
      <c r="D867" s="12" t="s">
        <v>241</v>
      </c>
      <c r="E867" s="11"/>
      <c r="F867" s="23" t="s">
        <v>2620</v>
      </c>
      <c r="G867" s="23"/>
      <c r="H867" s="11"/>
      <c r="I867" s="24"/>
      <c r="J867" s="13">
        <v>405</v>
      </c>
      <c r="K867" s="67" t="s">
        <v>17</v>
      </c>
      <c r="L867" s="19"/>
      <c r="M867" s="11" t="s">
        <v>31</v>
      </c>
    </row>
    <row r="868" spans="2:13" s="15" customFormat="1" ht="15" customHeight="1" x14ac:dyDescent="0.25">
      <c r="B868" s="11" t="s">
        <v>2621</v>
      </c>
      <c r="C868" s="105">
        <v>45535</v>
      </c>
      <c r="D868" s="12" t="s">
        <v>2336</v>
      </c>
      <c r="E868" s="11"/>
      <c r="F868" s="23" t="s">
        <v>2622</v>
      </c>
      <c r="G868" s="23"/>
      <c r="H868" s="11"/>
      <c r="I868" s="24"/>
      <c r="J868" s="114">
        <v>65235</v>
      </c>
      <c r="K868" s="67" t="s">
        <v>1649</v>
      </c>
      <c r="L868" s="19"/>
      <c r="M868" s="11" t="s">
        <v>18</v>
      </c>
    </row>
    <row r="869" spans="2:13" s="15" customFormat="1" ht="15" customHeight="1" x14ac:dyDescent="0.25">
      <c r="B869" s="11" t="s">
        <v>2623</v>
      </c>
      <c r="C869" s="105">
        <v>45535</v>
      </c>
      <c r="D869" s="12" t="s">
        <v>1603</v>
      </c>
      <c r="E869" s="11"/>
      <c r="F869" s="23" t="s">
        <v>2624</v>
      </c>
      <c r="G869" s="23"/>
      <c r="H869" s="11"/>
      <c r="I869" s="24"/>
      <c r="J869" s="114">
        <v>410.5</v>
      </c>
      <c r="K869" s="67" t="s">
        <v>17</v>
      </c>
      <c r="L869" s="19"/>
      <c r="M869" s="11" t="s">
        <v>18</v>
      </c>
    </row>
    <row r="870" spans="2:13" s="15" customFormat="1" ht="15" customHeight="1" x14ac:dyDescent="0.25">
      <c r="B870" s="11" t="s">
        <v>2625</v>
      </c>
      <c r="C870" s="105">
        <v>45535</v>
      </c>
      <c r="D870" s="12" t="s">
        <v>2386</v>
      </c>
      <c r="E870" s="11"/>
      <c r="F870" s="23" t="s">
        <v>2626</v>
      </c>
      <c r="G870" s="23"/>
      <c r="H870" s="11"/>
      <c r="I870" s="24"/>
      <c r="J870" s="114">
        <v>8550</v>
      </c>
      <c r="K870" s="67" t="s">
        <v>1649</v>
      </c>
      <c r="L870" s="19"/>
      <c r="M870" s="11" t="s">
        <v>18</v>
      </c>
    </row>
    <row r="871" spans="2:13" s="15" customFormat="1" ht="15" customHeight="1" x14ac:dyDescent="0.25">
      <c r="B871" s="11" t="s">
        <v>2627</v>
      </c>
      <c r="C871" s="105">
        <v>45535</v>
      </c>
      <c r="D871" s="12" t="s">
        <v>2628</v>
      </c>
      <c r="E871" s="11"/>
      <c r="F871" s="23" t="s">
        <v>2629</v>
      </c>
      <c r="G871" s="23"/>
      <c r="H871" s="11"/>
      <c r="I871" s="24"/>
      <c r="J871" s="114">
        <v>3982.5</v>
      </c>
      <c r="K871" s="67" t="s">
        <v>17</v>
      </c>
      <c r="L871" s="19"/>
      <c r="M871" s="11" t="s">
        <v>18</v>
      </c>
    </row>
    <row r="872" spans="2:13" s="15" customFormat="1" ht="15" customHeight="1" x14ac:dyDescent="0.25">
      <c r="B872" s="11" t="s">
        <v>2630</v>
      </c>
      <c r="C872" s="105">
        <v>45537</v>
      </c>
      <c r="D872" s="12" t="s">
        <v>2012</v>
      </c>
      <c r="E872" s="11"/>
      <c r="F872" s="12" t="s">
        <v>2631</v>
      </c>
      <c r="G872" s="23"/>
      <c r="H872" s="11"/>
      <c r="I872" s="24"/>
      <c r="J872" s="115">
        <v>418.5</v>
      </c>
      <c r="K872" s="67" t="s">
        <v>17</v>
      </c>
      <c r="L872" s="19"/>
      <c r="M872" s="11" t="s">
        <v>18</v>
      </c>
    </row>
    <row r="873" spans="2:13" s="15" customFormat="1" ht="15" customHeight="1" x14ac:dyDescent="0.25">
      <c r="B873" s="11" t="s">
        <v>2632</v>
      </c>
      <c r="C873" s="105">
        <v>45537</v>
      </c>
      <c r="D873" s="102" t="s">
        <v>907</v>
      </c>
      <c r="E873" s="11"/>
      <c r="F873" s="102" t="s">
        <v>2633</v>
      </c>
      <c r="G873" s="23"/>
      <c r="H873" s="11"/>
      <c r="I873" s="24"/>
      <c r="J873" s="116">
        <v>505</v>
      </c>
      <c r="K873" s="67" t="s">
        <v>17</v>
      </c>
      <c r="L873" s="19"/>
      <c r="M873" s="11" t="s">
        <v>31</v>
      </c>
    </row>
    <row r="874" spans="2:13" s="15" customFormat="1" ht="15" customHeight="1" x14ac:dyDescent="0.25">
      <c r="B874" s="11" t="s">
        <v>2634</v>
      </c>
      <c r="C874" s="105">
        <v>45537</v>
      </c>
      <c r="D874" s="12" t="s">
        <v>27</v>
      </c>
      <c r="E874" s="11"/>
      <c r="F874" s="12" t="s">
        <v>1247</v>
      </c>
      <c r="G874" s="23"/>
      <c r="H874" s="11"/>
      <c r="I874" s="24"/>
      <c r="J874" s="115">
        <v>325</v>
      </c>
      <c r="K874" s="67" t="s">
        <v>17</v>
      </c>
      <c r="L874" s="19"/>
      <c r="M874" s="11" t="s">
        <v>31</v>
      </c>
    </row>
    <row r="875" spans="2:13" s="15" customFormat="1" ht="15" customHeight="1" x14ac:dyDescent="0.25">
      <c r="B875" s="11" t="s">
        <v>2635</v>
      </c>
      <c r="C875" s="105">
        <v>45537</v>
      </c>
      <c r="D875" s="12" t="s">
        <v>2597</v>
      </c>
      <c r="E875" s="11"/>
      <c r="F875" s="12" t="s">
        <v>2636</v>
      </c>
      <c r="G875" s="23"/>
      <c r="H875" s="11"/>
      <c r="I875" s="24"/>
      <c r="J875" s="117">
        <v>465</v>
      </c>
      <c r="K875" s="67" t="s">
        <v>17</v>
      </c>
      <c r="L875" s="19"/>
      <c r="M875" s="11" t="s">
        <v>31</v>
      </c>
    </row>
    <row r="876" spans="2:13" s="15" customFormat="1" ht="15" customHeight="1" x14ac:dyDescent="0.25">
      <c r="B876" s="11" t="s">
        <v>2637</v>
      </c>
      <c r="C876" s="105">
        <v>45537</v>
      </c>
      <c r="D876" s="12" t="s">
        <v>2638</v>
      </c>
      <c r="E876" s="11"/>
      <c r="F876" s="12" t="s">
        <v>2639</v>
      </c>
      <c r="G876" s="23"/>
      <c r="H876" s="11"/>
      <c r="I876" s="24"/>
      <c r="J876" s="115">
        <v>2982.5</v>
      </c>
      <c r="K876" s="67" t="s">
        <v>17</v>
      </c>
      <c r="L876" s="19"/>
      <c r="M876" s="11" t="s">
        <v>31</v>
      </c>
    </row>
    <row r="877" spans="2:13" s="15" customFormat="1" ht="15" customHeight="1" x14ac:dyDescent="0.25">
      <c r="B877" s="11" t="s">
        <v>2640</v>
      </c>
      <c r="C877" s="105">
        <v>45538</v>
      </c>
      <c r="D877" s="12" t="s">
        <v>241</v>
      </c>
      <c r="E877" s="11"/>
      <c r="F877" s="12" t="s">
        <v>197</v>
      </c>
      <c r="G877" s="23"/>
      <c r="H877" s="11"/>
      <c r="I877" s="24"/>
      <c r="J877" s="115">
        <v>405</v>
      </c>
      <c r="K877" s="67" t="s">
        <v>17</v>
      </c>
      <c r="L877" s="19"/>
      <c r="M877" s="11" t="s">
        <v>31</v>
      </c>
    </row>
    <row r="878" spans="2:13" s="15" customFormat="1" ht="15" customHeight="1" x14ac:dyDescent="0.25">
      <c r="B878" s="11" t="s">
        <v>2641</v>
      </c>
      <c r="C878" s="105">
        <v>45538</v>
      </c>
      <c r="D878" s="12" t="s">
        <v>2642</v>
      </c>
      <c r="E878" s="11"/>
      <c r="F878" s="12" t="s">
        <v>2643</v>
      </c>
      <c r="G878" s="23"/>
      <c r="H878" s="11"/>
      <c r="I878" s="24"/>
      <c r="J878" s="115">
        <v>1037.5</v>
      </c>
      <c r="K878" s="67" t="s">
        <v>17</v>
      </c>
      <c r="L878" s="19"/>
      <c r="M878" s="11" t="s">
        <v>18</v>
      </c>
    </row>
    <row r="879" spans="2:13" s="15" customFormat="1" ht="15" customHeight="1" x14ac:dyDescent="0.25">
      <c r="B879" s="11" t="s">
        <v>2644</v>
      </c>
      <c r="C879" s="105">
        <v>45541</v>
      </c>
      <c r="D879" s="12" t="s">
        <v>574</v>
      </c>
      <c r="E879" s="11"/>
      <c r="F879" s="12" t="s">
        <v>1421</v>
      </c>
      <c r="G879" s="23"/>
      <c r="H879" s="11"/>
      <c r="I879" s="24"/>
      <c r="J879" s="117">
        <v>235</v>
      </c>
      <c r="K879" s="67" t="s">
        <v>17</v>
      </c>
      <c r="L879" s="19"/>
      <c r="M879" s="11" t="s">
        <v>18</v>
      </c>
    </row>
    <row r="880" spans="2:13" s="15" customFormat="1" ht="15" customHeight="1" x14ac:dyDescent="0.25">
      <c r="B880" s="11" t="s">
        <v>2645</v>
      </c>
      <c r="C880" s="105">
        <v>45539</v>
      </c>
      <c r="D880" s="12" t="s">
        <v>2254</v>
      </c>
      <c r="E880" s="11"/>
      <c r="F880" s="12" t="s">
        <v>2646</v>
      </c>
      <c r="G880" s="23"/>
      <c r="H880" s="11"/>
      <c r="I880" s="24"/>
      <c r="J880" s="115">
        <v>2992</v>
      </c>
      <c r="K880" s="67" t="s">
        <v>17</v>
      </c>
      <c r="L880" s="19"/>
      <c r="M880" s="11" t="s">
        <v>31</v>
      </c>
    </row>
    <row r="881" spans="2:13" s="15" customFormat="1" ht="15" customHeight="1" x14ac:dyDescent="0.25">
      <c r="B881" s="11" t="s">
        <v>2647</v>
      </c>
      <c r="C881" s="105">
        <v>45539</v>
      </c>
      <c r="D881" s="12" t="s">
        <v>241</v>
      </c>
      <c r="E881" s="11"/>
      <c r="F881" s="12" t="s">
        <v>2648</v>
      </c>
      <c r="G881" s="23"/>
      <c r="H881" s="11"/>
      <c r="I881" s="24"/>
      <c r="J881" s="115">
        <v>1275</v>
      </c>
      <c r="K881" s="67" t="s">
        <v>17</v>
      </c>
      <c r="L881" s="19"/>
      <c r="M881" s="11" t="s">
        <v>31</v>
      </c>
    </row>
    <row r="882" spans="2:13" s="15" customFormat="1" ht="15" customHeight="1" x14ac:dyDescent="0.25">
      <c r="B882" s="11" t="s">
        <v>2649</v>
      </c>
      <c r="C882" s="105">
        <v>45539</v>
      </c>
      <c r="D882" t="s">
        <v>2650</v>
      </c>
      <c r="E882" s="11"/>
      <c r="F882" s="102" t="s">
        <v>2651</v>
      </c>
      <c r="G882" s="23"/>
      <c r="H882" s="11"/>
      <c r="I882" s="24"/>
      <c r="J882" s="117">
        <v>4590</v>
      </c>
      <c r="K882" s="67" t="s">
        <v>2095</v>
      </c>
      <c r="L882" s="19"/>
      <c r="M882" s="11" t="s">
        <v>18</v>
      </c>
    </row>
    <row r="883" spans="2:13" s="15" customFormat="1" ht="15" customHeight="1" x14ac:dyDescent="0.25">
      <c r="B883" s="11" t="s">
        <v>2652</v>
      </c>
      <c r="C883" s="105">
        <v>37503</v>
      </c>
      <c r="D883" s="12" t="s">
        <v>1060</v>
      </c>
      <c r="E883" s="11"/>
      <c r="F883" s="12" t="s">
        <v>2653</v>
      </c>
      <c r="G883" s="23"/>
      <c r="H883" s="11"/>
      <c r="I883" s="24"/>
      <c r="J883" s="115">
        <v>2737.5</v>
      </c>
      <c r="K883" s="67" t="s">
        <v>17</v>
      </c>
      <c r="L883" s="19"/>
      <c r="M883" s="11" t="s">
        <v>31</v>
      </c>
    </row>
    <row r="884" spans="2:13" s="15" customFormat="1" ht="15" customHeight="1" x14ac:dyDescent="0.25">
      <c r="B884" s="67" t="s">
        <v>2654</v>
      </c>
      <c r="C884" s="105">
        <v>45539</v>
      </c>
      <c r="D884" s="12" t="s">
        <v>2655</v>
      </c>
      <c r="E884" s="11"/>
      <c r="F884" s="12" t="s">
        <v>999</v>
      </c>
      <c r="G884" s="23"/>
      <c r="H884" s="11"/>
      <c r="I884" s="24"/>
      <c r="J884" s="115">
        <v>2150</v>
      </c>
      <c r="K884" s="67" t="s">
        <v>17</v>
      </c>
      <c r="L884" s="19"/>
      <c r="M884" s="11" t="s">
        <v>31</v>
      </c>
    </row>
    <row r="885" spans="2:13" s="15" customFormat="1" ht="15" customHeight="1" x14ac:dyDescent="0.25">
      <c r="B885" s="67" t="s">
        <v>2656</v>
      </c>
      <c r="C885" s="105">
        <v>45539</v>
      </c>
      <c r="D885" s="12" t="s">
        <v>429</v>
      </c>
      <c r="E885" s="11"/>
      <c r="F885" s="12" t="s">
        <v>1112</v>
      </c>
      <c r="G885" s="23"/>
      <c r="H885" s="11"/>
      <c r="I885" s="24"/>
      <c r="J885" s="115">
        <v>240</v>
      </c>
      <c r="K885" s="67" t="s">
        <v>17</v>
      </c>
      <c r="L885" s="19"/>
      <c r="M885" s="11" t="s">
        <v>31</v>
      </c>
    </row>
    <row r="886" spans="2:13" s="15" customFormat="1" ht="15" customHeight="1" x14ac:dyDescent="0.25">
      <c r="B886" s="67" t="s">
        <v>2657</v>
      </c>
      <c r="C886" s="105">
        <v>45540</v>
      </c>
      <c r="D886" s="12" t="s">
        <v>27</v>
      </c>
      <c r="E886" s="11"/>
      <c r="F886" s="12" t="s">
        <v>2658</v>
      </c>
      <c r="G886" s="23"/>
      <c r="H886" s="11"/>
      <c r="I886" s="24"/>
      <c r="J886" s="115">
        <v>41176</v>
      </c>
      <c r="K886" s="67" t="s">
        <v>17</v>
      </c>
      <c r="L886" s="19"/>
      <c r="M886" s="11" t="s">
        <v>31</v>
      </c>
    </row>
    <row r="887" spans="2:13" s="15" customFormat="1" ht="15" customHeight="1" x14ac:dyDescent="0.25">
      <c r="B887" s="67" t="s">
        <v>2659</v>
      </c>
      <c r="C887" s="105">
        <v>45540</v>
      </c>
      <c r="D887" s="12" t="s">
        <v>27</v>
      </c>
      <c r="E887" s="11"/>
      <c r="F887" s="12" t="s">
        <v>2660</v>
      </c>
      <c r="G887" s="23"/>
      <c r="H887" s="11"/>
      <c r="I887" s="24"/>
      <c r="J887" s="115">
        <v>10074.799999999999</v>
      </c>
      <c r="K887" s="67" t="s">
        <v>17</v>
      </c>
      <c r="L887" s="19"/>
      <c r="M887" s="11" t="s">
        <v>31</v>
      </c>
    </row>
    <row r="888" spans="2:13" s="15" customFormat="1" ht="15" customHeight="1" x14ac:dyDescent="0.25">
      <c r="B888" s="67" t="s">
        <v>2661</v>
      </c>
      <c r="C888" s="105">
        <v>45540</v>
      </c>
      <c r="D888" s="12" t="s">
        <v>574</v>
      </c>
      <c r="E888" s="11"/>
      <c r="F888" s="102" t="s">
        <v>2662</v>
      </c>
      <c r="G888" s="23"/>
      <c r="H888" s="11"/>
      <c r="I888" s="24"/>
      <c r="J888" s="117">
        <v>185</v>
      </c>
      <c r="K888" s="67" t="s">
        <v>17</v>
      </c>
      <c r="L888" s="19"/>
      <c r="M888" s="11" t="s">
        <v>31</v>
      </c>
    </row>
    <row r="889" spans="2:13" s="15" customFormat="1" ht="15" customHeight="1" x14ac:dyDescent="0.25">
      <c r="B889" s="67" t="s">
        <v>2663</v>
      </c>
      <c r="C889" s="105">
        <v>45540</v>
      </c>
      <c r="D889" s="12" t="s">
        <v>907</v>
      </c>
      <c r="E889" s="11"/>
      <c r="F889" s="12" t="s">
        <v>2664</v>
      </c>
      <c r="G889" s="23"/>
      <c r="H889" s="11"/>
      <c r="I889" s="24"/>
      <c r="J889" s="115">
        <v>1170</v>
      </c>
      <c r="K889" s="67" t="s">
        <v>17</v>
      </c>
      <c r="L889" s="19"/>
      <c r="M889" s="11" t="s">
        <v>31</v>
      </c>
    </row>
    <row r="890" spans="2:13" s="15" customFormat="1" ht="15" customHeight="1" x14ac:dyDescent="0.25">
      <c r="B890" s="67" t="s">
        <v>2665</v>
      </c>
      <c r="C890" s="105">
        <v>45540</v>
      </c>
      <c r="D890" t="s">
        <v>473</v>
      </c>
      <c r="E890" s="11"/>
      <c r="F890" s="12" t="s">
        <v>2666</v>
      </c>
      <c r="G890" s="23"/>
      <c r="H890" s="11"/>
      <c r="I890" s="24"/>
      <c r="J890" s="115">
        <v>3300</v>
      </c>
      <c r="K890" s="67" t="s">
        <v>17</v>
      </c>
      <c r="L890" s="19"/>
      <c r="M890" s="11" t="s">
        <v>18</v>
      </c>
    </row>
    <row r="891" spans="2:13" s="15" customFormat="1" ht="15" customHeight="1" x14ac:dyDescent="0.25">
      <c r="B891" s="67" t="s">
        <v>2667</v>
      </c>
      <c r="C891" s="105">
        <v>45532</v>
      </c>
      <c r="D891" s="12" t="s">
        <v>564</v>
      </c>
      <c r="E891" s="11"/>
      <c r="F891" s="12" t="s">
        <v>2668</v>
      </c>
      <c r="G891" s="23"/>
      <c r="H891" s="11"/>
      <c r="I891" s="24"/>
      <c r="J891" s="115">
        <v>2585</v>
      </c>
      <c r="K891" s="67" t="s">
        <v>17</v>
      </c>
      <c r="L891" s="19"/>
      <c r="M891" s="11" t="s">
        <v>31</v>
      </c>
    </row>
    <row r="892" spans="2:13" s="15" customFormat="1" ht="15" customHeight="1" x14ac:dyDescent="0.25">
      <c r="B892" s="67" t="s">
        <v>2669</v>
      </c>
      <c r="C892" s="105">
        <v>45551</v>
      </c>
      <c r="D892" s="12" t="s">
        <v>2670</v>
      </c>
      <c r="E892" s="11"/>
      <c r="F892" s="12" t="s">
        <v>2671</v>
      </c>
      <c r="G892" s="23"/>
      <c r="H892" s="11"/>
      <c r="I892" s="24"/>
      <c r="J892" s="115">
        <v>1596</v>
      </c>
      <c r="K892" s="67" t="s">
        <v>17</v>
      </c>
      <c r="L892" s="19"/>
      <c r="M892" s="11" t="s">
        <v>31</v>
      </c>
    </row>
    <row r="893" spans="2:13" s="15" customFormat="1" ht="15" customHeight="1" x14ac:dyDescent="0.25">
      <c r="B893" s="67" t="s">
        <v>2672</v>
      </c>
      <c r="C893" s="105">
        <v>45542</v>
      </c>
      <c r="D893" t="s">
        <v>2673</v>
      </c>
      <c r="E893" s="11"/>
      <c r="F893" s="102" t="s">
        <v>2674</v>
      </c>
      <c r="G893" s="23"/>
      <c r="H893" s="11"/>
      <c r="I893" s="24"/>
      <c r="J893" s="118">
        <v>525</v>
      </c>
      <c r="K893" s="67" t="s">
        <v>17</v>
      </c>
      <c r="L893" s="19"/>
      <c r="M893" s="11" t="s">
        <v>18</v>
      </c>
    </row>
    <row r="894" spans="2:13" s="15" customFormat="1" ht="15" customHeight="1" x14ac:dyDescent="0.25">
      <c r="B894" s="67" t="s">
        <v>2675</v>
      </c>
      <c r="C894" s="105">
        <v>45542</v>
      </c>
      <c r="D894" s="12" t="s">
        <v>27</v>
      </c>
      <c r="E894" s="11"/>
      <c r="F894" s="12" t="s">
        <v>2676</v>
      </c>
      <c r="G894" s="23"/>
      <c r="H894" s="11"/>
      <c r="I894" s="24"/>
      <c r="J894" s="115">
        <v>5795</v>
      </c>
      <c r="K894" s="67" t="s">
        <v>17</v>
      </c>
      <c r="L894" s="19"/>
      <c r="M894" s="11" t="s">
        <v>31</v>
      </c>
    </row>
    <row r="895" spans="2:13" s="15" customFormat="1" ht="15" customHeight="1" x14ac:dyDescent="0.25">
      <c r="B895" s="67" t="s">
        <v>2677</v>
      </c>
      <c r="C895" s="105">
        <v>45544</v>
      </c>
      <c r="D895" s="12" t="s">
        <v>574</v>
      </c>
      <c r="E895" s="11"/>
      <c r="F895" s="12" t="s">
        <v>2678</v>
      </c>
      <c r="G895" s="23"/>
      <c r="H895" s="11"/>
      <c r="I895" s="24"/>
      <c r="J895" s="119">
        <v>3937.5</v>
      </c>
      <c r="K895" s="67" t="s">
        <v>17</v>
      </c>
      <c r="L895" s="19"/>
      <c r="M895" s="11" t="s">
        <v>2486</v>
      </c>
    </row>
    <row r="896" spans="2:13" s="15" customFormat="1" ht="15" customHeight="1" x14ac:dyDescent="0.25">
      <c r="B896" s="67" t="s">
        <v>2679</v>
      </c>
      <c r="C896" s="105">
        <v>45544</v>
      </c>
      <c r="D896" s="12" t="s">
        <v>27</v>
      </c>
      <c r="E896" s="11"/>
      <c r="F896" s="12" t="s">
        <v>2680</v>
      </c>
      <c r="G896" s="23"/>
      <c r="H896" s="11"/>
      <c r="I896" s="24"/>
      <c r="J896" s="115">
        <v>2490.1999999999998</v>
      </c>
      <c r="K896" s="67" t="s">
        <v>17</v>
      </c>
      <c r="L896" s="19"/>
      <c r="M896" s="11" t="s">
        <v>31</v>
      </c>
    </row>
    <row r="897" spans="2:13" s="15" customFormat="1" ht="15" customHeight="1" x14ac:dyDescent="0.25">
      <c r="B897" s="67" t="s">
        <v>2681</v>
      </c>
      <c r="C897" s="105">
        <v>45544</v>
      </c>
      <c r="D897" s="102" t="s">
        <v>27</v>
      </c>
      <c r="E897" s="11"/>
      <c r="F897" s="102" t="s">
        <v>2682</v>
      </c>
      <c r="G897" s="23"/>
      <c r="H897" s="11"/>
      <c r="I897" s="24"/>
      <c r="J897" s="117">
        <v>3825</v>
      </c>
      <c r="K897" s="88" t="s">
        <v>17</v>
      </c>
      <c r="L897" s="19"/>
      <c r="M897" s="11" t="s">
        <v>31</v>
      </c>
    </row>
    <row r="898" spans="2:13" s="15" customFormat="1" ht="15" customHeight="1" x14ac:dyDescent="0.25">
      <c r="B898" s="67" t="s">
        <v>2683</v>
      </c>
      <c r="C898" s="105">
        <v>45545</v>
      </c>
      <c r="D898" s="12" t="s">
        <v>27</v>
      </c>
      <c r="E898" s="11"/>
      <c r="F898" s="12" t="s">
        <v>1247</v>
      </c>
      <c r="G898" s="23"/>
      <c r="H898" s="11"/>
      <c r="I898" s="24"/>
      <c r="J898" s="115">
        <v>975</v>
      </c>
      <c r="K898" s="67" t="s">
        <v>17</v>
      </c>
      <c r="L898" s="19"/>
      <c r="M898" s="11" t="s">
        <v>31</v>
      </c>
    </row>
    <row r="899" spans="2:13" s="15" customFormat="1" ht="15.75" customHeight="1" x14ac:dyDescent="0.25">
      <c r="B899" s="67" t="s">
        <v>2684</v>
      </c>
      <c r="C899" s="105">
        <v>45545</v>
      </c>
      <c r="D899" s="12" t="s">
        <v>27</v>
      </c>
      <c r="E899" s="11"/>
      <c r="F899" s="12" t="s">
        <v>2685</v>
      </c>
      <c r="G899" s="23"/>
      <c r="H899" s="11"/>
      <c r="I899" s="24"/>
      <c r="J899" s="115">
        <v>235</v>
      </c>
      <c r="K899" s="67" t="s">
        <v>17</v>
      </c>
      <c r="L899" s="19"/>
      <c r="M899" s="11" t="s">
        <v>31</v>
      </c>
    </row>
    <row r="900" spans="2:13" s="15" customFormat="1" ht="15.75" customHeight="1" x14ac:dyDescent="0.25">
      <c r="B900" s="67" t="s">
        <v>2686</v>
      </c>
      <c r="C900" s="105">
        <v>45545</v>
      </c>
      <c r="D900" s="12" t="s">
        <v>2687</v>
      </c>
      <c r="E900" s="11"/>
      <c r="F900" s="12" t="s">
        <v>2688</v>
      </c>
      <c r="G900" s="23"/>
      <c r="H900" s="11"/>
      <c r="I900" s="24"/>
      <c r="J900" s="115">
        <v>1665</v>
      </c>
      <c r="K900" s="67" t="s">
        <v>17</v>
      </c>
      <c r="L900" s="19"/>
      <c r="M900" s="11" t="s">
        <v>31</v>
      </c>
    </row>
    <row r="901" spans="2:13" s="15" customFormat="1" ht="15.75" customHeight="1" x14ac:dyDescent="0.25">
      <c r="B901" s="67" t="s">
        <v>2689</v>
      </c>
      <c r="C901" s="105">
        <v>45545</v>
      </c>
      <c r="D901" s="12" t="s">
        <v>241</v>
      </c>
      <c r="E901" s="11"/>
      <c r="F901" s="12" t="s">
        <v>259</v>
      </c>
      <c r="G901" s="23"/>
      <c r="H901" s="11"/>
      <c r="I901" s="24"/>
      <c r="J901" s="115">
        <v>450</v>
      </c>
      <c r="K901" s="67" t="s">
        <v>17</v>
      </c>
      <c r="L901" s="19"/>
      <c r="M901" s="11" t="s">
        <v>31</v>
      </c>
    </row>
    <row r="902" spans="2:13" s="15" customFormat="1" ht="15.75" customHeight="1" x14ac:dyDescent="0.25">
      <c r="B902" s="67" t="s">
        <v>2690</v>
      </c>
      <c r="C902" s="105">
        <v>45545</v>
      </c>
      <c r="D902" s="12" t="s">
        <v>463</v>
      </c>
      <c r="E902" s="11"/>
      <c r="F902" s="12" t="s">
        <v>2691</v>
      </c>
      <c r="G902" s="23"/>
      <c r="H902" s="11"/>
      <c r="I902" s="24"/>
      <c r="J902" s="117">
        <v>7150</v>
      </c>
      <c r="K902" s="67" t="s">
        <v>17</v>
      </c>
      <c r="L902" s="19"/>
      <c r="M902" s="11" t="s">
        <v>31</v>
      </c>
    </row>
    <row r="903" spans="2:13" s="15" customFormat="1" ht="15.75" customHeight="1" x14ac:dyDescent="0.25">
      <c r="B903" s="67" t="s">
        <v>2692</v>
      </c>
      <c r="C903" s="120">
        <v>45546</v>
      </c>
      <c r="D903" s="12" t="s">
        <v>48</v>
      </c>
      <c r="E903" t="s">
        <v>511</v>
      </c>
      <c r="F903" s="12" t="s">
        <v>511</v>
      </c>
      <c r="G903" s="121"/>
      <c r="H903" s="11"/>
      <c r="I903" s="24"/>
      <c r="J903" s="115">
        <v>265</v>
      </c>
      <c r="K903" s="67" t="s">
        <v>17</v>
      </c>
      <c r="L903" s="19"/>
      <c r="M903" s="11" t="s">
        <v>31</v>
      </c>
    </row>
    <row r="904" spans="2:13" s="15" customFormat="1" ht="15.75" customHeight="1" x14ac:dyDescent="0.25">
      <c r="B904" s="67" t="s">
        <v>2692</v>
      </c>
      <c r="C904" s="105">
        <v>45546</v>
      </c>
      <c r="D904" t="s">
        <v>1578</v>
      </c>
      <c r="E904" s="11"/>
      <c r="F904" s="12" t="s">
        <v>2693</v>
      </c>
      <c r="G904" s="23"/>
      <c r="H904" s="11"/>
      <c r="I904" s="24"/>
      <c r="J904" s="117">
        <v>1520</v>
      </c>
      <c r="K904" s="67" t="s">
        <v>17</v>
      </c>
      <c r="L904" s="19"/>
      <c r="M904" s="11" t="s">
        <v>18</v>
      </c>
    </row>
    <row r="905" spans="2:13" s="15" customFormat="1" ht="15.75" customHeight="1" x14ac:dyDescent="0.25">
      <c r="B905" s="67" t="s">
        <v>2694</v>
      </c>
      <c r="C905" s="105">
        <v>45551</v>
      </c>
      <c r="D905" s="12" t="s">
        <v>1060</v>
      </c>
      <c r="E905" s="11"/>
      <c r="F905" s="12" t="s">
        <v>2695</v>
      </c>
      <c r="G905" s="23"/>
      <c r="H905" s="11"/>
      <c r="I905" s="24"/>
      <c r="J905" s="115">
        <v>3850</v>
      </c>
      <c r="K905" s="67" t="s">
        <v>17</v>
      </c>
      <c r="L905" s="19"/>
      <c r="M905" s="11" t="s">
        <v>31</v>
      </c>
    </row>
    <row r="906" spans="2:13" s="15" customFormat="1" ht="15.75" customHeight="1" x14ac:dyDescent="0.25">
      <c r="B906" s="67" t="s">
        <v>2696</v>
      </c>
      <c r="C906" s="105">
        <v>45546</v>
      </c>
      <c r="D906" s="12" t="s">
        <v>574</v>
      </c>
      <c r="E906" s="11"/>
      <c r="F906" s="12" t="s">
        <v>2697</v>
      </c>
      <c r="G906" s="23"/>
      <c r="H906" s="11"/>
      <c r="I906" s="24"/>
      <c r="J906" s="115">
        <v>798</v>
      </c>
      <c r="K906" s="67" t="s">
        <v>17</v>
      </c>
      <c r="L906" s="19"/>
      <c r="M906" s="11" t="s">
        <v>31</v>
      </c>
    </row>
    <row r="907" spans="2:13" s="15" customFormat="1" ht="15.75" customHeight="1" x14ac:dyDescent="0.25">
      <c r="B907" s="67" t="s">
        <v>2698</v>
      </c>
      <c r="C907" s="105">
        <v>45546</v>
      </c>
      <c r="D907" s="12" t="s">
        <v>1060</v>
      </c>
      <c r="E907" s="11"/>
      <c r="F907" s="12" t="s">
        <v>2699</v>
      </c>
      <c r="G907" s="23"/>
      <c r="H907" s="11"/>
      <c r="I907" s="24"/>
      <c r="J907" s="115">
        <v>2050</v>
      </c>
      <c r="K907" s="67" t="s">
        <v>17</v>
      </c>
      <c r="L907" s="19"/>
      <c r="M907" s="11" t="s">
        <v>31</v>
      </c>
    </row>
    <row r="908" spans="2:13" s="15" customFormat="1" ht="15.75" customHeight="1" x14ac:dyDescent="0.25">
      <c r="B908" s="67" t="s">
        <v>2700</v>
      </c>
      <c r="C908" s="105">
        <v>45547</v>
      </c>
      <c r="D908" t="s">
        <v>27</v>
      </c>
      <c r="E908" s="11"/>
      <c r="F908" s="102" t="s">
        <v>2701</v>
      </c>
      <c r="G908" s="23"/>
      <c r="H908" s="11"/>
      <c r="I908" s="24"/>
      <c r="J908" s="117">
        <v>1584</v>
      </c>
      <c r="K908" s="67" t="s">
        <v>17</v>
      </c>
      <c r="L908" s="19"/>
      <c r="M908" s="11" t="s">
        <v>31</v>
      </c>
    </row>
    <row r="909" spans="2:13" s="15" customFormat="1" ht="15.75" customHeight="1" x14ac:dyDescent="0.25">
      <c r="B909" s="67" t="s">
        <v>2702</v>
      </c>
      <c r="C909" s="105">
        <v>45547</v>
      </c>
      <c r="D909" s="12" t="s">
        <v>574</v>
      </c>
      <c r="E909" s="11"/>
      <c r="F909" s="12" t="s">
        <v>2703</v>
      </c>
      <c r="G909" s="23"/>
      <c r="H909" s="11"/>
      <c r="I909" s="24"/>
      <c r="J909" s="115">
        <v>4002.5</v>
      </c>
      <c r="K909" s="67" t="s">
        <v>17</v>
      </c>
      <c r="L909" s="19"/>
      <c r="M909" s="11" t="s">
        <v>31</v>
      </c>
    </row>
    <row r="910" spans="2:13" s="15" customFormat="1" ht="15.75" customHeight="1" x14ac:dyDescent="0.25">
      <c r="B910" s="67" t="s">
        <v>2704</v>
      </c>
      <c r="C910" s="105">
        <v>45547</v>
      </c>
      <c r="D910" s="12" t="s">
        <v>27</v>
      </c>
      <c r="E910" s="11"/>
      <c r="F910" s="12" t="s">
        <v>2705</v>
      </c>
      <c r="G910" s="23"/>
      <c r="H910" s="11"/>
      <c r="I910" s="24"/>
      <c r="J910" s="115">
        <v>5670</v>
      </c>
      <c r="K910" s="67" t="s">
        <v>17</v>
      </c>
      <c r="L910" s="19"/>
      <c r="M910" s="11" t="s">
        <v>31</v>
      </c>
    </row>
    <row r="911" spans="2:13" s="15" customFormat="1" ht="15.75" customHeight="1" x14ac:dyDescent="0.25">
      <c r="B911" s="67" t="s">
        <v>2706</v>
      </c>
      <c r="C911" s="105">
        <v>45547</v>
      </c>
      <c r="D911" s="12" t="s">
        <v>2597</v>
      </c>
      <c r="E911" s="11"/>
      <c r="F911" s="12" t="s">
        <v>2707</v>
      </c>
      <c r="G911" s="23"/>
      <c r="H911" s="11"/>
      <c r="I911" s="24"/>
      <c r="J911" s="122">
        <v>700</v>
      </c>
      <c r="K911" s="67" t="s">
        <v>17</v>
      </c>
      <c r="L911" s="19"/>
      <c r="M911" s="11" t="s">
        <v>18</v>
      </c>
    </row>
    <row r="912" spans="2:13" s="15" customFormat="1" ht="15.75" customHeight="1" x14ac:dyDescent="0.25">
      <c r="B912" s="67" t="s">
        <v>2708</v>
      </c>
      <c r="C912" s="105">
        <v>45548</v>
      </c>
      <c r="D912" s="12" t="s">
        <v>1907</v>
      </c>
      <c r="E912" s="11"/>
      <c r="F912" s="12" t="s">
        <v>22</v>
      </c>
      <c r="G912" s="23"/>
      <c r="H912" s="11"/>
      <c r="I912" s="24"/>
      <c r="J912" s="115">
        <v>285</v>
      </c>
      <c r="K912" s="67" t="s">
        <v>17</v>
      </c>
      <c r="L912" s="19"/>
      <c r="M912" s="11" t="s">
        <v>31</v>
      </c>
    </row>
    <row r="913" spans="2:13" s="15" customFormat="1" ht="15.75" customHeight="1" x14ac:dyDescent="0.25">
      <c r="B913" s="67" t="s">
        <v>2709</v>
      </c>
      <c r="C913" s="105">
        <v>45549</v>
      </c>
      <c r="D913" s="12" t="s">
        <v>1043</v>
      </c>
      <c r="E913" s="11"/>
      <c r="F913" s="12" t="s">
        <v>22</v>
      </c>
      <c r="G913" s="23"/>
      <c r="H913" s="11"/>
      <c r="I913" s="24"/>
      <c r="J913" s="115">
        <v>435</v>
      </c>
      <c r="K913" s="67" t="s">
        <v>17</v>
      </c>
      <c r="L913" s="19"/>
      <c r="M913" s="11" t="s">
        <v>31</v>
      </c>
    </row>
    <row r="914" spans="2:13" s="15" customFormat="1" ht="15.75" customHeight="1" x14ac:dyDescent="0.25">
      <c r="B914" s="67" t="s">
        <v>2710</v>
      </c>
      <c r="C914" s="105">
        <v>45549</v>
      </c>
      <c r="D914" s="12" t="s">
        <v>2711</v>
      </c>
      <c r="E914" s="11"/>
      <c r="F914" s="12" t="s">
        <v>2712</v>
      </c>
      <c r="G914" s="23"/>
      <c r="H914" s="11"/>
      <c r="I914" s="24"/>
      <c r="J914" s="115">
        <v>3950</v>
      </c>
      <c r="K914" s="67" t="s">
        <v>17</v>
      </c>
      <c r="L914" s="19"/>
      <c r="M914" s="11" t="s">
        <v>18</v>
      </c>
    </row>
    <row r="915" spans="2:13" s="15" customFormat="1" ht="15.75" customHeight="1" x14ac:dyDescent="0.25">
      <c r="B915" s="67" t="s">
        <v>2713</v>
      </c>
      <c r="C915" s="105">
        <v>45549</v>
      </c>
      <c r="D915" s="12" t="s">
        <v>654</v>
      </c>
      <c r="E915" s="11"/>
      <c r="F915" s="12" t="s">
        <v>2714</v>
      </c>
      <c r="G915" s="23"/>
      <c r="H915" s="11"/>
      <c r="I915" s="24"/>
      <c r="J915" s="115">
        <v>2285</v>
      </c>
      <c r="K915" s="67" t="s">
        <v>17</v>
      </c>
      <c r="L915" s="19"/>
      <c r="M915" s="11" t="s">
        <v>18</v>
      </c>
    </row>
    <row r="916" spans="2:13" s="15" customFormat="1" ht="15.75" customHeight="1" x14ac:dyDescent="0.25">
      <c r="B916" s="67" t="s">
        <v>2715</v>
      </c>
      <c r="C916" s="105">
        <v>45552</v>
      </c>
      <c r="D916" s="12" t="s">
        <v>2716</v>
      </c>
      <c r="E916" s="11"/>
      <c r="F916" s="102" t="s">
        <v>2717</v>
      </c>
      <c r="G916" s="23"/>
      <c r="H916" s="11"/>
      <c r="I916" s="24"/>
      <c r="J916" s="117">
        <v>735</v>
      </c>
      <c r="K916" s="67" t="s">
        <v>17</v>
      </c>
      <c r="L916" s="19"/>
      <c r="M916" s="11" t="s">
        <v>18</v>
      </c>
    </row>
    <row r="917" spans="2:13" s="15" customFormat="1" ht="15.75" customHeight="1" x14ac:dyDescent="0.25">
      <c r="B917" s="67" t="s">
        <v>2718</v>
      </c>
      <c r="C917" s="105">
        <v>45551</v>
      </c>
      <c r="D917" s="12" t="s">
        <v>211</v>
      </c>
      <c r="E917" s="11"/>
      <c r="F917" s="12" t="s">
        <v>2719</v>
      </c>
      <c r="G917" s="23"/>
      <c r="H917" s="11"/>
      <c r="I917" s="24"/>
      <c r="J917" s="115">
        <v>4200</v>
      </c>
      <c r="K917" s="67" t="s">
        <v>17</v>
      </c>
      <c r="L917" s="19"/>
      <c r="M917" s="11" t="s">
        <v>31</v>
      </c>
    </row>
    <row r="918" spans="2:13" s="15" customFormat="1" ht="15.75" customHeight="1" x14ac:dyDescent="0.25">
      <c r="B918" s="67" t="s">
        <v>2720</v>
      </c>
      <c r="C918" s="105">
        <v>45552</v>
      </c>
      <c r="D918" s="12" t="s">
        <v>2012</v>
      </c>
      <c r="E918" s="11"/>
      <c r="F918" s="12" t="s">
        <v>2721</v>
      </c>
      <c r="G918" s="23"/>
      <c r="H918" s="11"/>
      <c r="I918" s="24"/>
      <c r="J918" s="115">
        <v>9950</v>
      </c>
      <c r="K918" s="67" t="s">
        <v>17</v>
      </c>
      <c r="L918" s="19"/>
      <c r="M918" s="11" t="s">
        <v>31</v>
      </c>
    </row>
    <row r="919" spans="2:13" s="15" customFormat="1" ht="15.75" customHeight="1" x14ac:dyDescent="0.25">
      <c r="B919" s="67" t="s">
        <v>2722</v>
      </c>
      <c r="C919" s="105">
        <v>45551</v>
      </c>
      <c r="D919" s="12" t="s">
        <v>2546</v>
      </c>
      <c r="E919" s="11"/>
      <c r="F919" s="12" t="s">
        <v>2723</v>
      </c>
      <c r="G919" s="23"/>
      <c r="H919" s="11"/>
      <c r="I919" s="24"/>
      <c r="J919" s="115">
        <v>3750</v>
      </c>
      <c r="K919" s="67" t="s">
        <v>17</v>
      </c>
      <c r="L919" s="19"/>
      <c r="M919" s="11" t="s">
        <v>18</v>
      </c>
    </row>
    <row r="920" spans="2:13" s="15" customFormat="1" ht="15.75" customHeight="1" x14ac:dyDescent="0.25">
      <c r="B920" s="67" t="s">
        <v>2724</v>
      </c>
      <c r="C920" s="105">
        <v>45551</v>
      </c>
      <c r="D920" s="12" t="s">
        <v>2725</v>
      </c>
      <c r="E920" s="11"/>
      <c r="F920" s="12" t="s">
        <v>2726</v>
      </c>
      <c r="G920" s="23"/>
      <c r="H920" s="11"/>
      <c r="I920" s="24"/>
      <c r="J920" s="115">
        <v>687.5</v>
      </c>
      <c r="K920" s="67" t="s">
        <v>1754</v>
      </c>
      <c r="L920" s="19"/>
      <c r="M920" s="11" t="s">
        <v>18</v>
      </c>
    </row>
    <row r="921" spans="2:13" s="15" customFormat="1" ht="15.75" customHeight="1" x14ac:dyDescent="0.25">
      <c r="B921" s="67" t="s">
        <v>2727</v>
      </c>
      <c r="C921" s="105">
        <v>45551</v>
      </c>
      <c r="D921" s="12" t="s">
        <v>2728</v>
      </c>
      <c r="E921" s="11"/>
      <c r="F921" s="12" t="s">
        <v>2729</v>
      </c>
      <c r="G921" s="23"/>
      <c r="H921" s="11"/>
      <c r="I921" s="24"/>
      <c r="J921" s="115">
        <v>1037.5</v>
      </c>
      <c r="K921" s="67" t="s">
        <v>17</v>
      </c>
      <c r="L921" s="19"/>
      <c r="M921" s="11" t="s">
        <v>18</v>
      </c>
    </row>
    <row r="922" spans="2:13" s="15" customFormat="1" ht="15.75" customHeight="1" x14ac:dyDescent="0.25">
      <c r="B922" s="67" t="s">
        <v>2730</v>
      </c>
      <c r="C922" s="105">
        <v>45552</v>
      </c>
      <c r="D922" s="12" t="s">
        <v>2731</v>
      </c>
      <c r="E922" s="11"/>
      <c r="F922" s="12" t="s">
        <v>2732</v>
      </c>
      <c r="G922" s="23"/>
      <c r="H922" s="11"/>
      <c r="I922" s="24"/>
      <c r="J922" s="115">
        <v>1050</v>
      </c>
      <c r="K922" s="67" t="s">
        <v>17</v>
      </c>
      <c r="L922" s="19"/>
      <c r="M922" s="11" t="s">
        <v>18</v>
      </c>
    </row>
    <row r="923" spans="2:13" s="15" customFormat="1" ht="15.75" customHeight="1" x14ac:dyDescent="0.25">
      <c r="B923" s="67" t="s">
        <v>2733</v>
      </c>
      <c r="C923" s="105">
        <v>45552</v>
      </c>
      <c r="D923" s="102" t="s">
        <v>1578</v>
      </c>
      <c r="E923" s="11"/>
      <c r="F923" s="102" t="s">
        <v>2734</v>
      </c>
      <c r="G923" s="23"/>
      <c r="H923" s="11"/>
      <c r="I923" s="24"/>
      <c r="J923" s="115">
        <v>2025</v>
      </c>
      <c r="K923" s="67" t="s">
        <v>17</v>
      </c>
      <c r="L923" s="19"/>
      <c r="M923" s="11" t="s">
        <v>18</v>
      </c>
    </row>
    <row r="924" spans="2:13" s="15" customFormat="1" ht="15.75" customHeight="1" x14ac:dyDescent="0.25">
      <c r="B924" s="67" t="s">
        <v>2735</v>
      </c>
      <c r="C924" s="105">
        <v>45553</v>
      </c>
      <c r="D924" s="12" t="s">
        <v>463</v>
      </c>
      <c r="E924" s="11"/>
      <c r="F924" s="12" t="s">
        <v>2736</v>
      </c>
      <c r="G924" s="23"/>
      <c r="H924" s="11"/>
      <c r="I924" s="24"/>
      <c r="J924" s="115">
        <v>1410</v>
      </c>
      <c r="K924" s="88" t="s">
        <v>17</v>
      </c>
      <c r="L924" s="19"/>
      <c r="M924" s="11" t="s">
        <v>31</v>
      </c>
    </row>
    <row r="925" spans="2:13" s="15" customFormat="1" ht="15.75" customHeight="1" x14ac:dyDescent="0.25">
      <c r="B925" s="67" t="s">
        <v>2737</v>
      </c>
      <c r="C925" s="105">
        <v>45553</v>
      </c>
      <c r="D925" s="12" t="s">
        <v>880</v>
      </c>
      <c r="E925" s="11"/>
      <c r="F925" s="12" t="s">
        <v>1510</v>
      </c>
      <c r="G925" s="23"/>
      <c r="H925" s="11"/>
      <c r="I925" s="24"/>
      <c r="J925" s="115">
        <v>367.5</v>
      </c>
      <c r="K925" s="88" t="s">
        <v>17</v>
      </c>
      <c r="L925" s="19"/>
      <c r="M925" s="11" t="s">
        <v>31</v>
      </c>
    </row>
    <row r="926" spans="2:13" s="15" customFormat="1" ht="15.75" customHeight="1" x14ac:dyDescent="0.25">
      <c r="B926" s="67" t="s">
        <v>2738</v>
      </c>
      <c r="C926" s="105">
        <v>45553</v>
      </c>
      <c r="D926" t="s">
        <v>2560</v>
      </c>
      <c r="E926" s="11"/>
      <c r="F926" s="12" t="s">
        <v>2739</v>
      </c>
      <c r="G926" s="23"/>
      <c r="H926" s="11"/>
      <c r="I926" s="24"/>
      <c r="J926" s="115">
        <v>135</v>
      </c>
      <c r="K926" s="88" t="s">
        <v>17</v>
      </c>
      <c r="L926" s="19"/>
      <c r="M926" s="11" t="s">
        <v>31</v>
      </c>
    </row>
    <row r="927" spans="2:13" s="15" customFormat="1" ht="15.75" customHeight="1" x14ac:dyDescent="0.25">
      <c r="B927" s="67" t="s">
        <v>2740</v>
      </c>
      <c r="C927" s="105">
        <v>45553</v>
      </c>
      <c r="D927" s="12" t="s">
        <v>241</v>
      </c>
      <c r="E927" s="11"/>
      <c r="F927" s="12" t="s">
        <v>197</v>
      </c>
      <c r="G927" s="23"/>
      <c r="H927" s="11"/>
      <c r="I927" s="24"/>
      <c r="J927" s="115">
        <v>405</v>
      </c>
      <c r="K927" s="88" t="s">
        <v>17</v>
      </c>
      <c r="L927" s="19"/>
      <c r="M927" s="11" t="s">
        <v>31</v>
      </c>
    </row>
    <row r="928" spans="2:13" s="15" customFormat="1" ht="15.75" customHeight="1" x14ac:dyDescent="0.25">
      <c r="B928" s="67" t="s">
        <v>2741</v>
      </c>
      <c r="C928" s="105">
        <v>45553</v>
      </c>
      <c r="D928" s="12" t="s">
        <v>429</v>
      </c>
      <c r="E928" s="11"/>
      <c r="F928" s="12" t="s">
        <v>2742</v>
      </c>
      <c r="G928" s="23"/>
      <c r="H928" s="11"/>
      <c r="I928" s="24"/>
      <c r="J928" s="115">
        <v>4201.75</v>
      </c>
      <c r="K928" s="88" t="s">
        <v>17</v>
      </c>
      <c r="L928" s="19"/>
      <c r="M928" s="11" t="s">
        <v>18</v>
      </c>
    </row>
    <row r="929" spans="2:13" s="15" customFormat="1" ht="15.75" customHeight="1" x14ac:dyDescent="0.25">
      <c r="B929" s="67" t="s">
        <v>2743</v>
      </c>
      <c r="C929" s="105">
        <v>45553</v>
      </c>
      <c r="D929" s="12" t="s">
        <v>574</v>
      </c>
      <c r="E929" s="11"/>
      <c r="F929" s="12" t="s">
        <v>2744</v>
      </c>
      <c r="G929" s="23"/>
      <c r="H929" s="11"/>
      <c r="I929" s="24"/>
      <c r="J929" s="115">
        <v>495</v>
      </c>
      <c r="K929" s="88" t="s">
        <v>17</v>
      </c>
      <c r="L929" s="19"/>
      <c r="M929" s="11" t="s">
        <v>18</v>
      </c>
    </row>
    <row r="930" spans="2:13" s="15" customFormat="1" ht="15.75" customHeight="1" x14ac:dyDescent="0.25">
      <c r="B930" s="67" t="s">
        <v>2745</v>
      </c>
      <c r="C930" s="105">
        <v>45553</v>
      </c>
      <c r="D930" t="s">
        <v>574</v>
      </c>
      <c r="E930" s="11"/>
      <c r="F930" s="12" t="s">
        <v>2746</v>
      </c>
      <c r="G930" s="23"/>
      <c r="H930" s="11"/>
      <c r="I930" s="24"/>
      <c r="J930" s="115">
        <v>520</v>
      </c>
      <c r="K930" s="88" t="s">
        <v>17</v>
      </c>
      <c r="L930" s="19"/>
      <c r="M930" s="11" t="s">
        <v>18</v>
      </c>
    </row>
    <row r="931" spans="2:13" s="15" customFormat="1" ht="15.75" customHeight="1" x14ac:dyDescent="0.25">
      <c r="B931" s="67" t="s">
        <v>2747</v>
      </c>
      <c r="C931" s="105">
        <v>45554</v>
      </c>
      <c r="D931" s="12" t="s">
        <v>2254</v>
      </c>
      <c r="E931" s="11"/>
      <c r="F931" s="12" t="s">
        <v>2748</v>
      </c>
      <c r="G931" s="23"/>
      <c r="H931" s="11"/>
      <c r="I931" s="24"/>
      <c r="J931" s="115">
        <v>2155</v>
      </c>
      <c r="K931" s="88" t="s">
        <v>17</v>
      </c>
      <c r="L931" s="19"/>
      <c r="M931" s="11" t="s">
        <v>31</v>
      </c>
    </row>
    <row r="932" spans="2:13" s="15" customFormat="1" ht="15.75" customHeight="1" x14ac:dyDescent="0.25">
      <c r="B932" s="67" t="s">
        <v>2749</v>
      </c>
      <c r="C932" s="105">
        <v>45554</v>
      </c>
      <c r="D932" s="12" t="s">
        <v>2750</v>
      </c>
      <c r="E932" s="11"/>
      <c r="F932" s="12" t="s">
        <v>2751</v>
      </c>
      <c r="G932" s="23"/>
      <c r="H932" s="11"/>
      <c r="I932" s="24"/>
      <c r="J932" s="115">
        <v>6772.5</v>
      </c>
      <c r="K932" s="88" t="s">
        <v>17</v>
      </c>
      <c r="L932" s="19"/>
      <c r="M932" s="11" t="s">
        <v>18</v>
      </c>
    </row>
    <row r="933" spans="2:13" s="15" customFormat="1" ht="15.75" customHeight="1" x14ac:dyDescent="0.25">
      <c r="B933" s="67" t="s">
        <v>2752</v>
      </c>
      <c r="C933" s="105">
        <v>45554</v>
      </c>
      <c r="D933" t="s">
        <v>241</v>
      </c>
      <c r="E933" s="11"/>
      <c r="F933" t="s">
        <v>197</v>
      </c>
      <c r="G933" s="23"/>
      <c r="H933" s="11"/>
      <c r="I933" s="24"/>
      <c r="J933" s="115">
        <v>405</v>
      </c>
      <c r="K933" s="88" t="s">
        <v>17</v>
      </c>
      <c r="L933" s="19"/>
      <c r="M933" s="11" t="s">
        <v>31</v>
      </c>
    </row>
    <row r="934" spans="2:13" s="15" customFormat="1" ht="15.75" customHeight="1" x14ac:dyDescent="0.25">
      <c r="B934" s="67" t="s">
        <v>2753</v>
      </c>
      <c r="C934" s="105">
        <v>45558</v>
      </c>
      <c r="D934" s="12" t="s">
        <v>2754</v>
      </c>
      <c r="E934" s="11"/>
      <c r="F934" s="12" t="s">
        <v>2755</v>
      </c>
      <c r="G934" s="23"/>
      <c r="H934" s="11"/>
      <c r="I934" s="24"/>
      <c r="J934" s="115">
        <v>18605</v>
      </c>
      <c r="K934" s="88" t="s">
        <v>17</v>
      </c>
      <c r="L934" s="19"/>
      <c r="M934" s="11" t="s">
        <v>18</v>
      </c>
    </row>
    <row r="935" spans="2:13" s="15" customFormat="1" ht="15.75" customHeight="1" x14ac:dyDescent="0.25">
      <c r="B935" s="67" t="s">
        <v>2756</v>
      </c>
      <c r="C935" s="105">
        <v>45555</v>
      </c>
      <c r="D935" s="12" t="s">
        <v>507</v>
      </c>
      <c r="E935" s="11"/>
      <c r="F935" s="12" t="s">
        <v>1323</v>
      </c>
      <c r="G935" s="23"/>
      <c r="H935" s="11"/>
      <c r="I935" s="24"/>
      <c r="J935" s="115">
        <v>475</v>
      </c>
      <c r="K935" s="88" t="s">
        <v>17</v>
      </c>
      <c r="L935" s="19"/>
      <c r="M935" s="11" t="s">
        <v>31</v>
      </c>
    </row>
    <row r="936" spans="2:13" s="15" customFormat="1" ht="15.75" customHeight="1" x14ac:dyDescent="0.25">
      <c r="B936" s="67" t="s">
        <v>2757</v>
      </c>
      <c r="C936" s="105">
        <v>45559</v>
      </c>
      <c r="D936" s="12" t="s">
        <v>1060</v>
      </c>
      <c r="E936" s="11"/>
      <c r="F936" s="12" t="s">
        <v>2758</v>
      </c>
      <c r="G936" s="23"/>
      <c r="H936" s="11"/>
      <c r="I936" s="24"/>
      <c r="J936" s="115">
        <v>3900</v>
      </c>
      <c r="K936" s="88" t="s">
        <v>17</v>
      </c>
      <c r="L936" s="19"/>
      <c r="M936" s="11" t="s">
        <v>31</v>
      </c>
    </row>
    <row r="937" spans="2:13" s="15" customFormat="1" ht="15.75" customHeight="1" x14ac:dyDescent="0.25">
      <c r="B937" s="67" t="s">
        <v>2759</v>
      </c>
      <c r="C937" s="105">
        <v>45556</v>
      </c>
      <c r="D937" t="s">
        <v>2711</v>
      </c>
      <c r="E937" s="11"/>
      <c r="F937" s="12" t="s">
        <v>2182</v>
      </c>
      <c r="G937" s="23"/>
      <c r="H937" s="11"/>
      <c r="I937" s="24"/>
      <c r="J937" s="117">
        <v>1795</v>
      </c>
      <c r="K937" s="88" t="s">
        <v>17</v>
      </c>
      <c r="L937" s="19"/>
      <c r="M937" s="11" t="s">
        <v>18</v>
      </c>
    </row>
    <row r="938" spans="2:13" s="15" customFormat="1" ht="15.75" customHeight="1" x14ac:dyDescent="0.25">
      <c r="B938" s="67" t="s">
        <v>2760</v>
      </c>
      <c r="C938" s="106">
        <v>45560</v>
      </c>
      <c r="D938" s="12" t="s">
        <v>2761</v>
      </c>
      <c r="E938" s="11"/>
      <c r="F938" s="123" t="s">
        <v>2762</v>
      </c>
      <c r="G938" s="23"/>
      <c r="H938" s="11"/>
      <c r="I938" s="24"/>
      <c r="J938" s="115">
        <v>67782.2</v>
      </c>
      <c r="K938" s="88" t="s">
        <v>17</v>
      </c>
      <c r="L938" s="19"/>
      <c r="M938" s="11" t="s">
        <v>31</v>
      </c>
    </row>
    <row r="939" spans="2:13" s="15" customFormat="1" ht="15.75" customHeight="1" x14ac:dyDescent="0.25">
      <c r="B939" s="67" t="s">
        <v>2763</v>
      </c>
      <c r="C939" s="106">
        <v>45560</v>
      </c>
      <c r="D939" s="12" t="s">
        <v>2764</v>
      </c>
      <c r="E939" s="11"/>
      <c r="F939" s="123" t="s">
        <v>2762</v>
      </c>
      <c r="G939" s="23"/>
      <c r="H939" s="11"/>
      <c r="I939" s="24"/>
      <c r="J939" s="117">
        <v>29267.85</v>
      </c>
      <c r="K939" s="88" t="s">
        <v>17</v>
      </c>
      <c r="L939" s="19"/>
      <c r="M939" s="11" t="s">
        <v>31</v>
      </c>
    </row>
    <row r="940" spans="2:13" s="15" customFormat="1" ht="15.75" customHeight="1" x14ac:dyDescent="0.25">
      <c r="B940" s="67" t="s">
        <v>2765</v>
      </c>
      <c r="C940" s="106">
        <v>45560</v>
      </c>
      <c r="D940" t="s">
        <v>1459</v>
      </c>
      <c r="E940" s="11"/>
      <c r="F940" s="12" t="s">
        <v>2766</v>
      </c>
      <c r="G940" s="23"/>
      <c r="H940" s="11"/>
      <c r="I940" s="24"/>
      <c r="J940" s="115">
        <v>425</v>
      </c>
      <c r="K940" s="88" t="s">
        <v>17</v>
      </c>
      <c r="L940" s="19"/>
      <c r="M940" s="11" t="s">
        <v>18</v>
      </c>
    </row>
    <row r="941" spans="2:13" s="15" customFormat="1" ht="15.75" customHeight="1" x14ac:dyDescent="0.25">
      <c r="B941" s="67" t="s">
        <v>2767</v>
      </c>
      <c r="C941" s="106">
        <v>45560</v>
      </c>
      <c r="D941" s="12" t="s">
        <v>574</v>
      </c>
      <c r="E941" s="11"/>
      <c r="F941" s="12" t="s">
        <v>2768</v>
      </c>
      <c r="G941" s="23"/>
      <c r="H941" s="11"/>
      <c r="I941" s="24"/>
      <c r="J941" s="115">
        <v>1295</v>
      </c>
      <c r="K941" s="88" t="s">
        <v>17</v>
      </c>
      <c r="L941" s="19"/>
      <c r="M941" s="11" t="s">
        <v>31</v>
      </c>
    </row>
    <row r="942" spans="2:13" s="15" customFormat="1" ht="15.75" customHeight="1" x14ac:dyDescent="0.25">
      <c r="B942" s="67" t="s">
        <v>2769</v>
      </c>
      <c r="C942" s="106">
        <v>45560</v>
      </c>
      <c r="D942" s="12" t="s">
        <v>574</v>
      </c>
      <c r="E942" s="11"/>
      <c r="F942" s="12" t="s">
        <v>2770</v>
      </c>
      <c r="G942" s="23"/>
      <c r="H942" s="11"/>
      <c r="I942" s="24"/>
      <c r="J942" s="117">
        <v>1012.5</v>
      </c>
      <c r="K942" s="88" t="s">
        <v>17</v>
      </c>
      <c r="L942" s="19"/>
      <c r="M942" s="11" t="s">
        <v>31</v>
      </c>
    </row>
    <row r="943" spans="2:13" s="15" customFormat="1" ht="15.75" customHeight="1" x14ac:dyDescent="0.25">
      <c r="B943" s="67" t="s">
        <v>2771</v>
      </c>
      <c r="C943" s="106">
        <v>45560</v>
      </c>
      <c r="D943" s="12" t="s">
        <v>574</v>
      </c>
      <c r="E943" s="11"/>
      <c r="F943" s="12" t="s">
        <v>2772</v>
      </c>
      <c r="G943" s="23"/>
      <c r="H943" s="11"/>
      <c r="I943" s="24"/>
      <c r="J943" s="115">
        <v>1725</v>
      </c>
      <c r="K943" s="88" t="s">
        <v>17</v>
      </c>
      <c r="L943" s="19"/>
      <c r="M943" s="11" t="s">
        <v>18</v>
      </c>
    </row>
    <row r="944" spans="2:13" s="15" customFormat="1" ht="15.75" customHeight="1" x14ac:dyDescent="0.25">
      <c r="B944" s="67" t="s">
        <v>2773</v>
      </c>
      <c r="C944" s="105">
        <v>45562</v>
      </c>
      <c r="D944" s="12" t="s">
        <v>2254</v>
      </c>
      <c r="E944" s="11"/>
      <c r="F944" s="12" t="s">
        <v>2774</v>
      </c>
      <c r="G944" s="23"/>
      <c r="H944" s="11"/>
      <c r="I944" s="24"/>
      <c r="J944" s="115">
        <v>1054.5</v>
      </c>
      <c r="K944" s="88" t="s">
        <v>17</v>
      </c>
      <c r="L944" s="19"/>
      <c r="M944" s="11" t="s">
        <v>31</v>
      </c>
    </row>
    <row r="945" spans="2:13" s="15" customFormat="1" ht="15.75" customHeight="1" x14ac:dyDescent="0.25">
      <c r="B945" s="67" t="s">
        <v>2775</v>
      </c>
      <c r="C945" s="105">
        <v>45562</v>
      </c>
      <c r="D945" s="12" t="s">
        <v>574</v>
      </c>
      <c r="E945" s="11"/>
      <c r="F945" s="12" t="s">
        <v>2776</v>
      </c>
      <c r="G945" s="23"/>
      <c r="H945" s="11"/>
      <c r="I945" s="24"/>
      <c r="J945" s="115">
        <v>4940</v>
      </c>
      <c r="K945" s="88" t="s">
        <v>17</v>
      </c>
      <c r="L945" s="19"/>
      <c r="M945" s="11" t="s">
        <v>31</v>
      </c>
    </row>
    <row r="946" spans="2:13" s="15" customFormat="1" ht="15.75" customHeight="1" x14ac:dyDescent="0.25">
      <c r="B946" s="67" t="s">
        <v>2777</v>
      </c>
      <c r="C946" s="105">
        <v>45562</v>
      </c>
      <c r="D946" t="s">
        <v>2778</v>
      </c>
      <c r="E946" s="11"/>
      <c r="F946" s="12" t="s">
        <v>2779</v>
      </c>
      <c r="G946" s="23"/>
      <c r="H946" s="11"/>
      <c r="I946" s="24"/>
      <c r="J946" s="115">
        <v>16325</v>
      </c>
      <c r="K946" s="88" t="s">
        <v>17</v>
      </c>
      <c r="L946" s="19"/>
      <c r="M946" s="11" t="s">
        <v>18</v>
      </c>
    </row>
    <row r="947" spans="2:13" s="15" customFormat="1" ht="15.75" customHeight="1" x14ac:dyDescent="0.25">
      <c r="B947" s="67" t="s">
        <v>2780</v>
      </c>
      <c r="C947" s="105">
        <v>45562</v>
      </c>
      <c r="D947" s="12" t="s">
        <v>2781</v>
      </c>
      <c r="E947" s="11"/>
      <c r="F947" s="12" t="s">
        <v>1247</v>
      </c>
      <c r="G947" s="23"/>
      <c r="H947" s="11"/>
      <c r="I947" s="24"/>
      <c r="J947" s="117">
        <v>435</v>
      </c>
      <c r="K947" s="88" t="s">
        <v>17</v>
      </c>
      <c r="L947" s="19"/>
      <c r="M947" s="11" t="s">
        <v>18</v>
      </c>
    </row>
    <row r="948" spans="2:13" s="15" customFormat="1" ht="15.75" customHeight="1" x14ac:dyDescent="0.25">
      <c r="B948" s="11" t="s">
        <v>2782</v>
      </c>
      <c r="C948" s="105">
        <v>45565</v>
      </c>
      <c r="D948" s="12" t="s">
        <v>574</v>
      </c>
      <c r="E948" s="11"/>
      <c r="F948" s="12" t="s">
        <v>2783</v>
      </c>
      <c r="G948" s="23"/>
      <c r="H948" s="11"/>
      <c r="I948" s="24"/>
      <c r="J948" s="115">
        <v>2375</v>
      </c>
      <c r="K948" s="88" t="s">
        <v>17</v>
      </c>
      <c r="L948" s="19"/>
      <c r="M948" s="11" t="s">
        <v>18</v>
      </c>
    </row>
    <row r="949" spans="2:13" s="15" customFormat="1" ht="15.75" customHeight="1" x14ac:dyDescent="0.25">
      <c r="B949" s="67" t="s">
        <v>2784</v>
      </c>
      <c r="C949" s="105">
        <v>45565</v>
      </c>
      <c r="D949" s="12" t="s">
        <v>463</v>
      </c>
      <c r="E949" s="11"/>
      <c r="F949" s="12" t="s">
        <v>2785</v>
      </c>
      <c r="G949" s="23"/>
      <c r="H949" s="11"/>
      <c r="I949" s="24"/>
      <c r="J949" s="117">
        <v>755</v>
      </c>
      <c r="K949" s="88" t="s">
        <v>17</v>
      </c>
      <c r="L949" s="19"/>
      <c r="M949" s="11" t="s">
        <v>31</v>
      </c>
    </row>
    <row r="950" spans="2:13" s="15" customFormat="1" ht="15.75" customHeight="1" x14ac:dyDescent="0.25">
      <c r="B950" s="67" t="s">
        <v>2786</v>
      </c>
      <c r="C950" s="105">
        <v>45565</v>
      </c>
      <c r="D950" s="12" t="s">
        <v>907</v>
      </c>
      <c r="E950" s="11"/>
      <c r="F950" s="12" t="s">
        <v>2787</v>
      </c>
      <c r="G950" s="23"/>
      <c r="H950" s="11"/>
      <c r="I950" s="24"/>
      <c r="J950" s="115">
        <v>695</v>
      </c>
      <c r="K950" s="88" t="s">
        <v>17</v>
      </c>
      <c r="L950" s="19"/>
      <c r="M950" s="11" t="s">
        <v>31</v>
      </c>
    </row>
    <row r="951" spans="2:13" s="15" customFormat="1" ht="15.75" customHeight="1" x14ac:dyDescent="0.25">
      <c r="B951" s="67" t="s">
        <v>2788</v>
      </c>
      <c r="C951" s="105">
        <v>45565</v>
      </c>
      <c r="D951" s="12" t="s">
        <v>907</v>
      </c>
      <c r="E951" s="11"/>
      <c r="F951" s="12" t="s">
        <v>2787</v>
      </c>
      <c r="G951" s="23"/>
      <c r="H951" s="11"/>
      <c r="I951" s="24"/>
      <c r="J951" s="115">
        <v>472</v>
      </c>
      <c r="K951" s="88" t="s">
        <v>17</v>
      </c>
      <c r="L951" s="19"/>
      <c r="M951" s="11" t="s">
        <v>31</v>
      </c>
    </row>
    <row r="952" spans="2:13" s="15" customFormat="1" ht="15.75" customHeight="1" x14ac:dyDescent="0.25">
      <c r="B952" s="67" t="s">
        <v>2789</v>
      </c>
      <c r="C952" s="105">
        <v>45566</v>
      </c>
      <c r="D952" s="12" t="s">
        <v>574</v>
      </c>
      <c r="E952" s="11"/>
      <c r="F952" s="12" t="s">
        <v>2790</v>
      </c>
      <c r="G952" s="23"/>
      <c r="H952" s="11"/>
      <c r="I952" s="24"/>
      <c r="J952" s="115">
        <v>2150</v>
      </c>
      <c r="K952" s="88" t="s">
        <v>17</v>
      </c>
      <c r="L952" s="19"/>
      <c r="M952" s="11" t="s">
        <v>18</v>
      </c>
    </row>
    <row r="953" spans="2:13" s="15" customFormat="1" ht="15.75" customHeight="1" x14ac:dyDescent="0.25">
      <c r="B953" s="67" t="s">
        <v>2791</v>
      </c>
      <c r="C953" s="105">
        <v>45566</v>
      </c>
      <c r="D953" s="12" t="s">
        <v>574</v>
      </c>
      <c r="E953" s="11"/>
      <c r="F953" s="12" t="s">
        <v>2792</v>
      </c>
      <c r="G953" s="23"/>
      <c r="H953" s="11"/>
      <c r="I953" s="24"/>
      <c r="J953" s="115">
        <v>1250</v>
      </c>
      <c r="K953" s="88" t="s">
        <v>17</v>
      </c>
      <c r="L953" s="19"/>
      <c r="M953" s="11" t="s">
        <v>31</v>
      </c>
    </row>
    <row r="954" spans="2:13" s="15" customFormat="1" ht="15.75" customHeight="1" x14ac:dyDescent="0.25">
      <c r="B954" s="67" t="s">
        <v>2793</v>
      </c>
      <c r="C954" s="105">
        <v>45566</v>
      </c>
      <c r="D954" s="12" t="s">
        <v>2794</v>
      </c>
      <c r="E954" s="11"/>
      <c r="F954" s="12" t="s">
        <v>2795</v>
      </c>
      <c r="G954" s="23"/>
      <c r="H954" s="11"/>
      <c r="I954" s="24"/>
      <c r="J954" s="115">
        <v>495</v>
      </c>
      <c r="K954" s="88" t="s">
        <v>17</v>
      </c>
      <c r="L954" s="19"/>
      <c r="M954" s="11" t="s">
        <v>18</v>
      </c>
    </row>
    <row r="955" spans="2:13" s="15" customFormat="1" ht="15.75" customHeight="1" x14ac:dyDescent="0.25">
      <c r="B955" s="67" t="s">
        <v>2796</v>
      </c>
      <c r="C955" s="105">
        <v>45573</v>
      </c>
      <c r="D955" s="12" t="s">
        <v>463</v>
      </c>
      <c r="E955" s="11"/>
      <c r="F955" s="12" t="s">
        <v>2797</v>
      </c>
      <c r="G955" s="23"/>
      <c r="H955" s="11"/>
      <c r="I955" s="24"/>
      <c r="J955" s="115">
        <v>1195</v>
      </c>
      <c r="K955" s="88" t="s">
        <v>17</v>
      </c>
      <c r="L955" s="19"/>
      <c r="M955" s="11" t="s">
        <v>31</v>
      </c>
    </row>
    <row r="956" spans="2:13" s="15" customFormat="1" ht="15.75" customHeight="1" x14ac:dyDescent="0.25">
      <c r="B956" s="67" t="s">
        <v>2798</v>
      </c>
      <c r="C956" s="105">
        <v>45566</v>
      </c>
      <c r="D956" s="12" t="s">
        <v>27</v>
      </c>
      <c r="E956" s="11"/>
      <c r="F956" s="12" t="s">
        <v>2799</v>
      </c>
      <c r="G956" s="23"/>
      <c r="H956" s="11"/>
      <c r="I956" s="24"/>
      <c r="J956" s="115">
        <v>432</v>
      </c>
      <c r="K956" s="88" t="s">
        <v>17</v>
      </c>
      <c r="L956" s="19"/>
      <c r="M956" s="11" t="s">
        <v>31</v>
      </c>
    </row>
    <row r="957" spans="2:13" s="15" customFormat="1" ht="15.75" customHeight="1" x14ac:dyDescent="0.25">
      <c r="B957" s="67" t="s">
        <v>2800</v>
      </c>
      <c r="C957" s="105">
        <v>45566</v>
      </c>
      <c r="D957" s="12" t="s">
        <v>27</v>
      </c>
      <c r="E957" s="11"/>
      <c r="F957" s="12" t="s">
        <v>1247</v>
      </c>
      <c r="G957" s="23"/>
      <c r="H957" s="11"/>
      <c r="I957" s="24"/>
      <c r="J957" s="115">
        <v>325</v>
      </c>
      <c r="K957" s="88" t="s">
        <v>17</v>
      </c>
      <c r="L957" s="19"/>
      <c r="M957" s="11" t="s">
        <v>31</v>
      </c>
    </row>
    <row r="958" spans="2:13" s="15" customFormat="1" ht="15.75" customHeight="1" x14ac:dyDescent="0.25">
      <c r="B958" s="67" t="s">
        <v>2801</v>
      </c>
      <c r="C958" s="105">
        <v>45566</v>
      </c>
      <c r="D958" t="s">
        <v>167</v>
      </c>
      <c r="E958" s="11"/>
      <c r="F958" s="12" t="s">
        <v>2802</v>
      </c>
      <c r="G958" s="23"/>
      <c r="H958" s="11"/>
      <c r="I958" s="24"/>
      <c r="J958" s="115">
        <v>1725</v>
      </c>
      <c r="K958" s="88" t="s">
        <v>17</v>
      </c>
      <c r="L958" s="19"/>
      <c r="M958" s="11" t="s">
        <v>31</v>
      </c>
    </row>
    <row r="959" spans="2:13" s="15" customFormat="1" ht="15.75" customHeight="1" x14ac:dyDescent="0.25">
      <c r="B959" s="67" t="s">
        <v>2803</v>
      </c>
      <c r="C959" s="105">
        <v>45566</v>
      </c>
      <c r="D959" s="12" t="s">
        <v>241</v>
      </c>
      <c r="E959" s="11"/>
      <c r="F959" s="12" t="s">
        <v>197</v>
      </c>
      <c r="G959" s="23"/>
      <c r="H959" s="11"/>
      <c r="I959" s="24"/>
      <c r="J959" s="115">
        <v>405</v>
      </c>
      <c r="K959" s="88" t="s">
        <v>17</v>
      </c>
      <c r="L959" s="19"/>
      <c r="M959" s="11" t="s">
        <v>31</v>
      </c>
    </row>
    <row r="960" spans="2:13" s="15" customFormat="1" ht="15.75" customHeight="1" x14ac:dyDescent="0.25">
      <c r="B960" s="67" t="s">
        <v>2804</v>
      </c>
      <c r="C960" s="105">
        <v>45566</v>
      </c>
      <c r="D960" s="12" t="s">
        <v>1722</v>
      </c>
      <c r="E960" s="11"/>
      <c r="F960" s="12" t="s">
        <v>143</v>
      </c>
      <c r="G960" s="23"/>
      <c r="H960" s="11"/>
      <c r="I960" s="24"/>
      <c r="J960" s="115">
        <v>517</v>
      </c>
      <c r="K960" s="88" t="s">
        <v>17</v>
      </c>
      <c r="L960" s="19"/>
      <c r="M960" s="11" t="s">
        <v>31</v>
      </c>
    </row>
    <row r="961" spans="2:13" s="15" customFormat="1" ht="15.75" customHeight="1" x14ac:dyDescent="0.25">
      <c r="B961" s="67" t="s">
        <v>2805</v>
      </c>
      <c r="C961" s="105">
        <v>45567</v>
      </c>
      <c r="D961" s="12" t="s">
        <v>574</v>
      </c>
      <c r="E961" s="11"/>
      <c r="F961" s="12" t="s">
        <v>2806</v>
      </c>
      <c r="G961" s="23"/>
      <c r="H961" s="11"/>
      <c r="I961" s="24"/>
      <c r="J961" s="115">
        <v>860</v>
      </c>
      <c r="K961" s="88" t="s">
        <v>17</v>
      </c>
      <c r="L961" s="19"/>
      <c r="M961" s="11" t="s">
        <v>18</v>
      </c>
    </row>
    <row r="962" spans="2:13" s="15" customFormat="1" ht="15.75" customHeight="1" x14ac:dyDescent="0.25">
      <c r="B962" s="67" t="s">
        <v>2807</v>
      </c>
      <c r="C962" s="105">
        <v>45567</v>
      </c>
      <c r="D962" s="12" t="s">
        <v>241</v>
      </c>
      <c r="E962" s="11"/>
      <c r="F962" s="12" t="s">
        <v>1476</v>
      </c>
      <c r="G962" s="23"/>
      <c r="H962" s="11"/>
      <c r="I962" s="24"/>
      <c r="J962" s="115">
        <v>120</v>
      </c>
      <c r="K962" s="88" t="s">
        <v>17</v>
      </c>
      <c r="L962" s="19"/>
      <c r="M962" s="11" t="s">
        <v>31</v>
      </c>
    </row>
    <row r="963" spans="2:13" s="15" customFormat="1" ht="15.75" customHeight="1" x14ac:dyDescent="0.25">
      <c r="B963" s="67" t="s">
        <v>2808</v>
      </c>
      <c r="C963" s="105">
        <v>45567</v>
      </c>
      <c r="D963" s="12" t="s">
        <v>574</v>
      </c>
      <c r="E963" s="11"/>
      <c r="F963" s="12" t="s">
        <v>2809</v>
      </c>
      <c r="G963" s="23"/>
      <c r="H963" s="11"/>
      <c r="I963" s="24"/>
      <c r="J963" s="115">
        <v>4925</v>
      </c>
      <c r="K963" s="88" t="s">
        <v>17</v>
      </c>
      <c r="L963" s="19"/>
      <c r="M963" s="11" t="s">
        <v>18</v>
      </c>
    </row>
    <row r="964" spans="2:13" s="15" customFormat="1" ht="15.75" customHeight="1" x14ac:dyDescent="0.25">
      <c r="B964" s="67" t="s">
        <v>2810</v>
      </c>
      <c r="C964" s="105">
        <v>45567</v>
      </c>
      <c r="D964" s="12" t="s">
        <v>574</v>
      </c>
      <c r="E964" s="11"/>
      <c r="F964" s="12" t="s">
        <v>2811</v>
      </c>
      <c r="G964" s="23"/>
      <c r="H964" s="11"/>
      <c r="I964" s="24"/>
      <c r="J964" s="115">
        <v>10500</v>
      </c>
      <c r="K964" s="88" t="s">
        <v>17</v>
      </c>
      <c r="L964" s="19"/>
      <c r="M964" s="11" t="s">
        <v>18</v>
      </c>
    </row>
    <row r="965" spans="2:13" s="15" customFormat="1" ht="15.75" customHeight="1" x14ac:dyDescent="0.25">
      <c r="B965" s="67" t="s">
        <v>2812</v>
      </c>
      <c r="C965" s="105">
        <v>45567</v>
      </c>
      <c r="D965" s="12" t="s">
        <v>574</v>
      </c>
      <c r="E965" s="11"/>
      <c r="F965" s="12" t="s">
        <v>2813</v>
      </c>
      <c r="G965" s="23"/>
      <c r="H965" s="11"/>
      <c r="I965" s="24"/>
      <c r="J965" s="115">
        <v>1925</v>
      </c>
      <c r="K965" s="88" t="s">
        <v>17</v>
      </c>
      <c r="L965" s="19"/>
      <c r="M965" s="11" t="s">
        <v>18</v>
      </c>
    </row>
    <row r="966" spans="2:13" s="15" customFormat="1" ht="15.75" customHeight="1" x14ac:dyDescent="0.25">
      <c r="B966" s="67" t="s">
        <v>2814</v>
      </c>
      <c r="C966" s="105">
        <v>45567</v>
      </c>
      <c r="D966" s="12" t="s">
        <v>574</v>
      </c>
      <c r="E966" s="11"/>
      <c r="F966" s="12" t="s">
        <v>2815</v>
      </c>
      <c r="G966" s="23"/>
      <c r="H966" s="11"/>
      <c r="I966" s="24"/>
      <c r="J966" s="115">
        <v>2200</v>
      </c>
      <c r="K966" s="88" t="s">
        <v>17</v>
      </c>
      <c r="L966" s="19"/>
      <c r="M966" s="11" t="s">
        <v>18</v>
      </c>
    </row>
    <row r="967" spans="2:13" s="15" customFormat="1" ht="15.75" customHeight="1" x14ac:dyDescent="0.25">
      <c r="B967" s="67" t="s">
        <v>2816</v>
      </c>
      <c r="C967" s="105">
        <v>45567</v>
      </c>
      <c r="D967" s="12" t="s">
        <v>574</v>
      </c>
      <c r="E967" s="11"/>
      <c r="F967" s="12" t="s">
        <v>2678</v>
      </c>
      <c r="G967" s="23"/>
      <c r="H967" s="11"/>
      <c r="I967" s="24"/>
      <c r="J967" s="119">
        <v>3187.5</v>
      </c>
      <c r="K967" s="88" t="s">
        <v>17</v>
      </c>
      <c r="L967" s="19"/>
      <c r="M967" s="11" t="s">
        <v>31</v>
      </c>
    </row>
    <row r="968" spans="2:13" s="15" customFormat="1" ht="15.75" customHeight="1" x14ac:dyDescent="0.25">
      <c r="B968" s="67" t="s">
        <v>2817</v>
      </c>
      <c r="C968" s="105">
        <v>45568</v>
      </c>
      <c r="D968" t="s">
        <v>241</v>
      </c>
      <c r="E968" s="11"/>
      <c r="F968" s="12" t="s">
        <v>197</v>
      </c>
      <c r="G968" s="23"/>
      <c r="H968" s="11"/>
      <c r="I968" s="24"/>
      <c r="J968" s="115">
        <v>405</v>
      </c>
      <c r="K968" s="88" t="s">
        <v>17</v>
      </c>
      <c r="L968" s="19"/>
      <c r="M968" s="11" t="s">
        <v>31</v>
      </c>
    </row>
    <row r="969" spans="2:13" s="15" customFormat="1" ht="15.75" customHeight="1" x14ac:dyDescent="0.25">
      <c r="B969" s="67" t="s">
        <v>2818</v>
      </c>
      <c r="C969" s="105">
        <v>45568</v>
      </c>
      <c r="D969" s="102" t="s">
        <v>211</v>
      </c>
      <c r="E969" s="11"/>
      <c r="F969" s="12" t="s">
        <v>143</v>
      </c>
      <c r="G969" s="23"/>
      <c r="H969" s="11"/>
      <c r="I969" s="24"/>
      <c r="J969" s="115">
        <v>235</v>
      </c>
      <c r="K969" s="88" t="s">
        <v>17</v>
      </c>
      <c r="L969" s="19"/>
      <c r="M969" s="11" t="s">
        <v>31</v>
      </c>
    </row>
    <row r="970" spans="2:13" s="15" customFormat="1" ht="15.75" customHeight="1" x14ac:dyDescent="0.25">
      <c r="B970" s="67" t="s">
        <v>2819</v>
      </c>
      <c r="C970" s="105">
        <v>45568</v>
      </c>
      <c r="D970" s="12" t="s">
        <v>211</v>
      </c>
      <c r="E970" s="124"/>
      <c r="F970" s="12" t="s">
        <v>2820</v>
      </c>
      <c r="G970" s="121"/>
      <c r="H970" s="11"/>
      <c r="I970" s="125"/>
      <c r="J970" s="115">
        <v>13800</v>
      </c>
      <c r="K970" s="126" t="s">
        <v>17</v>
      </c>
      <c r="L970" s="19"/>
      <c r="M970" s="11" t="s">
        <v>18</v>
      </c>
    </row>
    <row r="971" spans="2:13" s="15" customFormat="1" ht="15.75" customHeight="1" x14ac:dyDescent="0.25">
      <c r="B971" s="127" t="s">
        <v>2821</v>
      </c>
      <c r="C971" s="128">
        <v>45569</v>
      </c>
      <c r="D971" s="10" t="s">
        <v>27</v>
      </c>
      <c r="E971" s="11"/>
      <c r="F971" s="10" t="s">
        <v>1247</v>
      </c>
      <c r="G971" s="23"/>
      <c r="H971" s="11"/>
      <c r="I971" s="24"/>
      <c r="J971" s="129">
        <v>325</v>
      </c>
      <c r="K971" s="88" t="s">
        <v>17</v>
      </c>
      <c r="L971" s="19"/>
      <c r="M971" s="11" t="s">
        <v>31</v>
      </c>
    </row>
    <row r="972" spans="2:13" s="15" customFormat="1" ht="15.75" customHeight="1" x14ac:dyDescent="0.25">
      <c r="B972" s="67" t="s">
        <v>2822</v>
      </c>
      <c r="C972" s="105">
        <v>45570</v>
      </c>
      <c r="D972" s="12" t="s">
        <v>574</v>
      </c>
      <c r="E972" s="11"/>
      <c r="F972" s="12" t="s">
        <v>2823</v>
      </c>
      <c r="G972" s="23"/>
      <c r="H972" s="11"/>
      <c r="I972" s="24"/>
      <c r="J972" s="115">
        <v>1045</v>
      </c>
      <c r="K972" s="88" t="s">
        <v>17</v>
      </c>
      <c r="L972" s="19"/>
      <c r="M972" s="11" t="s">
        <v>31</v>
      </c>
    </row>
    <row r="973" spans="2:13" s="15" customFormat="1" ht="15.75" customHeight="1" x14ac:dyDescent="0.25">
      <c r="B973" s="67" t="s">
        <v>2824</v>
      </c>
      <c r="C973" s="105">
        <v>45570</v>
      </c>
      <c r="D973" s="12" t="s">
        <v>574</v>
      </c>
      <c r="E973" s="11"/>
      <c r="F973" s="12" t="s">
        <v>2825</v>
      </c>
      <c r="G973" s="23"/>
      <c r="H973" s="11"/>
      <c r="I973" s="24"/>
      <c r="J973" s="115">
        <v>2935</v>
      </c>
      <c r="K973" s="88" t="s">
        <v>17</v>
      </c>
      <c r="L973" s="19"/>
      <c r="M973" s="11" t="s">
        <v>31</v>
      </c>
    </row>
    <row r="974" spans="2:13" s="15" customFormat="1" ht="15.75" customHeight="1" x14ac:dyDescent="0.25">
      <c r="B974" s="67" t="s">
        <v>2826</v>
      </c>
      <c r="C974" s="105">
        <v>45570</v>
      </c>
      <c r="D974" s="12" t="s">
        <v>170</v>
      </c>
      <c r="E974" s="11"/>
      <c r="F974" s="12" t="s">
        <v>2827</v>
      </c>
      <c r="G974" s="23"/>
      <c r="H974" s="11"/>
      <c r="I974" s="24"/>
      <c r="J974" s="115">
        <v>2945</v>
      </c>
      <c r="K974" s="88" t="s">
        <v>17</v>
      </c>
      <c r="L974" s="19"/>
      <c r="M974" s="11" t="s">
        <v>31</v>
      </c>
    </row>
    <row r="975" spans="2:13" s="15" customFormat="1" ht="15.75" customHeight="1" x14ac:dyDescent="0.25">
      <c r="B975" s="67" t="s">
        <v>2828</v>
      </c>
      <c r="C975" s="105">
        <v>45570</v>
      </c>
      <c r="D975" s="12" t="s">
        <v>27</v>
      </c>
      <c r="E975" s="11"/>
      <c r="F975" s="12" t="s">
        <v>1247</v>
      </c>
      <c r="G975" s="23"/>
      <c r="H975" s="11"/>
      <c r="I975" s="24"/>
      <c r="J975" s="115">
        <v>325</v>
      </c>
      <c r="K975" s="88" t="s">
        <v>17</v>
      </c>
      <c r="L975" s="19"/>
      <c r="M975" s="11" t="s">
        <v>31</v>
      </c>
    </row>
    <row r="976" spans="2:13" s="15" customFormat="1" ht="15.75" customHeight="1" x14ac:dyDescent="0.25">
      <c r="B976" s="67" t="s">
        <v>2829</v>
      </c>
      <c r="C976" s="105">
        <v>45570</v>
      </c>
      <c r="D976" s="12" t="s">
        <v>27</v>
      </c>
      <c r="E976" s="11"/>
      <c r="F976" s="12" t="s">
        <v>2830</v>
      </c>
      <c r="G976" s="23"/>
      <c r="H976" s="11"/>
      <c r="I976" s="24"/>
      <c r="J976" s="115">
        <v>3192</v>
      </c>
      <c r="K976" s="88" t="s">
        <v>17</v>
      </c>
      <c r="L976" s="19"/>
      <c r="M976" s="11" t="s">
        <v>31</v>
      </c>
    </row>
    <row r="977" spans="2:13" s="15" customFormat="1" ht="15.75" customHeight="1" x14ac:dyDescent="0.25">
      <c r="B977" s="67" t="s">
        <v>2831</v>
      </c>
      <c r="C977" s="105">
        <v>45570</v>
      </c>
      <c r="D977" t="s">
        <v>2832</v>
      </c>
      <c r="E977" s="11"/>
      <c r="F977" s="12" t="s">
        <v>1044</v>
      </c>
      <c r="G977" s="23"/>
      <c r="H977" s="11"/>
      <c r="I977" s="24"/>
      <c r="J977" s="115">
        <v>475</v>
      </c>
      <c r="K977" s="88" t="s">
        <v>17</v>
      </c>
      <c r="L977" s="19"/>
      <c r="M977" s="11" t="s">
        <v>18</v>
      </c>
    </row>
    <row r="978" spans="2:13" s="15" customFormat="1" ht="15.75" customHeight="1" x14ac:dyDescent="0.25">
      <c r="B978" s="11" t="s">
        <v>2833</v>
      </c>
      <c r="C978" s="105">
        <v>45572</v>
      </c>
      <c r="D978" s="12" t="s">
        <v>1043</v>
      </c>
      <c r="E978" s="11"/>
      <c r="F978" s="12" t="s">
        <v>1247</v>
      </c>
      <c r="G978" s="23"/>
      <c r="H978" s="11"/>
      <c r="I978" s="24"/>
      <c r="J978" s="115">
        <v>365</v>
      </c>
      <c r="K978" s="88" t="s">
        <v>17</v>
      </c>
      <c r="L978" s="19"/>
      <c r="M978" s="11" t="s">
        <v>31</v>
      </c>
    </row>
    <row r="979" spans="2:13" s="15" customFormat="1" ht="15.75" customHeight="1" x14ac:dyDescent="0.25">
      <c r="B979" s="11" t="s">
        <v>2834</v>
      </c>
      <c r="C979" s="105">
        <v>45572</v>
      </c>
      <c r="D979" s="66" t="s">
        <v>2445</v>
      </c>
      <c r="E979" s="11"/>
      <c r="F979" s="66" t="s">
        <v>2835</v>
      </c>
      <c r="G979" s="23"/>
      <c r="H979" s="11"/>
      <c r="I979" s="24"/>
      <c r="J979" s="130">
        <v>7750</v>
      </c>
      <c r="K979" s="88" t="s">
        <v>1754</v>
      </c>
      <c r="L979" s="19"/>
      <c r="M979" s="11" t="s">
        <v>18</v>
      </c>
    </row>
    <row r="980" spans="2:13" s="15" customFormat="1" ht="15.75" customHeight="1" x14ac:dyDescent="0.25">
      <c r="B980" s="11" t="s">
        <v>2836</v>
      </c>
      <c r="C980" s="105">
        <v>45572</v>
      </c>
      <c r="D980" s="12" t="s">
        <v>2254</v>
      </c>
      <c r="E980" s="11"/>
      <c r="F980" s="12" t="s">
        <v>2837</v>
      </c>
      <c r="G980" s="23"/>
      <c r="H980" s="11"/>
      <c r="I980" s="24"/>
      <c r="J980" s="115">
        <v>744</v>
      </c>
      <c r="K980" s="88" t="s">
        <v>17</v>
      </c>
      <c r="L980" s="19"/>
      <c r="M980" s="11" t="s">
        <v>18</v>
      </c>
    </row>
    <row r="981" spans="2:13" s="15" customFormat="1" ht="15.75" customHeight="1" x14ac:dyDescent="0.25">
      <c r="B981" s="11" t="s">
        <v>2838</v>
      </c>
      <c r="C981" s="105">
        <v>45572</v>
      </c>
      <c r="D981" s="12" t="s">
        <v>2839</v>
      </c>
      <c r="E981" s="11"/>
      <c r="F981" s="131" t="s">
        <v>2840</v>
      </c>
      <c r="G981" s="23"/>
      <c r="H981" s="11"/>
      <c r="I981" s="24"/>
      <c r="J981" s="115">
        <v>6000</v>
      </c>
      <c r="K981" s="88" t="s">
        <v>17</v>
      </c>
      <c r="L981" s="19"/>
      <c r="M981" s="11" t="s">
        <v>18</v>
      </c>
    </row>
    <row r="982" spans="2:13" s="15" customFormat="1" ht="15.75" customHeight="1" x14ac:dyDescent="0.25">
      <c r="B982" s="11" t="s">
        <v>2841</v>
      </c>
      <c r="C982" s="105">
        <v>45572</v>
      </c>
      <c r="D982" s="132" t="s">
        <v>2842</v>
      </c>
      <c r="E982" s="11"/>
      <c r="F982" s="12" t="s">
        <v>2843</v>
      </c>
      <c r="G982" s="23"/>
      <c r="H982" s="11"/>
      <c r="I982" s="24"/>
      <c r="J982" s="115">
        <v>395</v>
      </c>
      <c r="K982" s="88" t="s">
        <v>1754</v>
      </c>
      <c r="L982" s="19"/>
      <c r="M982" s="11" t="s">
        <v>18</v>
      </c>
    </row>
    <row r="983" spans="2:13" s="15" customFormat="1" ht="15.75" customHeight="1" x14ac:dyDescent="0.25">
      <c r="B983" s="11" t="s">
        <v>2844</v>
      </c>
      <c r="C983" s="105">
        <v>45572</v>
      </c>
      <c r="D983" s="12" t="s">
        <v>2845</v>
      </c>
      <c r="E983" s="11"/>
      <c r="F983" s="12" t="s">
        <v>2846</v>
      </c>
      <c r="G983" s="23"/>
      <c r="H983" s="11"/>
      <c r="I983" s="24"/>
      <c r="J983" s="115">
        <v>10725</v>
      </c>
      <c r="K983" s="88" t="s">
        <v>1754</v>
      </c>
      <c r="L983" s="19"/>
      <c r="M983" s="11" t="s">
        <v>18</v>
      </c>
    </row>
    <row r="984" spans="2:13" s="15" customFormat="1" ht="15.75" customHeight="1" x14ac:dyDescent="0.25">
      <c r="B984" s="11" t="s">
        <v>2847</v>
      </c>
      <c r="C984" s="105">
        <v>45572</v>
      </c>
      <c r="D984" s="12" t="s">
        <v>2848</v>
      </c>
      <c r="E984" s="11"/>
      <c r="F984" s="12" t="s">
        <v>2849</v>
      </c>
      <c r="G984" s="23"/>
      <c r="H984" s="11"/>
      <c r="I984" s="24"/>
      <c r="J984" s="115">
        <v>345</v>
      </c>
      <c r="K984" s="88" t="s">
        <v>1754</v>
      </c>
      <c r="L984" s="19"/>
      <c r="M984" s="11" t="s">
        <v>18</v>
      </c>
    </row>
    <row r="985" spans="2:13" s="15" customFormat="1" ht="15" customHeight="1" x14ac:dyDescent="0.25">
      <c r="B985" s="11" t="s">
        <v>2850</v>
      </c>
      <c r="C985" s="105">
        <v>45572</v>
      </c>
      <c r="D985" s="12" t="s">
        <v>292</v>
      </c>
      <c r="E985" s="11"/>
      <c r="F985" s="12" t="s">
        <v>2851</v>
      </c>
      <c r="G985" s="23"/>
      <c r="H985" s="11"/>
      <c r="I985" s="24"/>
      <c r="J985" s="115">
        <v>1570</v>
      </c>
      <c r="K985" s="88" t="s">
        <v>17</v>
      </c>
      <c r="L985" s="19"/>
      <c r="M985" s="11" t="s">
        <v>31</v>
      </c>
    </row>
    <row r="986" spans="2:13" s="15" customFormat="1" ht="15" customHeight="1" x14ac:dyDescent="0.25">
      <c r="B986" s="11" t="s">
        <v>2852</v>
      </c>
      <c r="C986" s="105">
        <v>45572</v>
      </c>
      <c r="D986" s="12" t="s">
        <v>1060</v>
      </c>
      <c r="E986" s="11"/>
      <c r="F986" s="12" t="s">
        <v>2853</v>
      </c>
      <c r="G986" s="23"/>
      <c r="H986" s="11"/>
      <c r="I986" s="24"/>
      <c r="J986" s="115">
        <v>1625</v>
      </c>
      <c r="K986" s="88" t="s">
        <v>17</v>
      </c>
      <c r="L986" s="19"/>
      <c r="M986" s="11" t="s">
        <v>31</v>
      </c>
    </row>
    <row r="987" spans="2:13" s="15" customFormat="1" ht="15" customHeight="1" x14ac:dyDescent="0.25">
      <c r="B987" s="11" t="s">
        <v>2854</v>
      </c>
      <c r="C987" s="105">
        <v>45572</v>
      </c>
      <c r="D987" s="12" t="s">
        <v>346</v>
      </c>
      <c r="E987" s="11"/>
      <c r="F987" s="12" t="s">
        <v>2855</v>
      </c>
      <c r="G987" s="23"/>
      <c r="H987" s="11"/>
      <c r="I987" s="24"/>
      <c r="J987" s="115">
        <v>437.5</v>
      </c>
      <c r="K987" s="88" t="s">
        <v>17</v>
      </c>
      <c r="L987" s="19"/>
      <c r="M987" s="11" t="s">
        <v>31</v>
      </c>
    </row>
    <row r="988" spans="2:13" s="15" customFormat="1" ht="15" customHeight="1" x14ac:dyDescent="0.25">
      <c r="B988" s="11" t="s">
        <v>2856</v>
      </c>
      <c r="C988" s="105">
        <v>45572</v>
      </c>
      <c r="D988" s="12" t="s">
        <v>463</v>
      </c>
      <c r="E988" s="11"/>
      <c r="F988" s="12" t="s">
        <v>1245</v>
      </c>
      <c r="G988" s="23"/>
      <c r="H988" s="11"/>
      <c r="I988" s="24"/>
      <c r="J988" s="115">
        <v>7297.5</v>
      </c>
      <c r="K988" s="88" t="s">
        <v>17</v>
      </c>
      <c r="L988" s="19"/>
      <c r="M988" s="11" t="s">
        <v>31</v>
      </c>
    </row>
    <row r="989" spans="2:13" s="15" customFormat="1" ht="15" customHeight="1" x14ac:dyDescent="0.25">
      <c r="B989" s="11" t="s">
        <v>2857</v>
      </c>
      <c r="C989" s="105">
        <v>45573</v>
      </c>
      <c r="D989" s="12" t="s">
        <v>27</v>
      </c>
      <c r="E989" s="11"/>
      <c r="F989" s="12" t="s">
        <v>2685</v>
      </c>
      <c r="G989" s="23"/>
      <c r="H989" s="11"/>
      <c r="I989" s="24"/>
      <c r="J989" s="115">
        <v>296</v>
      </c>
      <c r="K989" s="88" t="s">
        <v>17</v>
      </c>
      <c r="L989" s="19"/>
      <c r="M989" s="11" t="s">
        <v>31</v>
      </c>
    </row>
    <row r="990" spans="2:13" s="15" customFormat="1" ht="15" customHeight="1" x14ac:dyDescent="0.25">
      <c r="B990" s="11" t="s">
        <v>2858</v>
      </c>
      <c r="C990" s="105">
        <v>45573</v>
      </c>
      <c r="D990" t="s">
        <v>1060</v>
      </c>
      <c r="E990" s="11"/>
      <c r="F990" s="12" t="s">
        <v>2859</v>
      </c>
      <c r="G990" s="23"/>
      <c r="H990" s="11"/>
      <c r="I990" s="24"/>
      <c r="J990" s="115">
        <v>475</v>
      </c>
      <c r="K990" s="88" t="s">
        <v>17</v>
      </c>
      <c r="L990" s="19"/>
      <c r="M990" s="11" t="s">
        <v>31</v>
      </c>
    </row>
    <row r="991" spans="2:13" s="15" customFormat="1" ht="15" customHeight="1" x14ac:dyDescent="0.25">
      <c r="B991" s="11" t="s">
        <v>2860</v>
      </c>
      <c r="C991" s="105">
        <v>45573</v>
      </c>
      <c r="D991" s="12" t="s">
        <v>142</v>
      </c>
      <c r="E991" s="11"/>
      <c r="F991" s="23" t="s">
        <v>2861</v>
      </c>
      <c r="G991" s="23"/>
      <c r="H991" s="11"/>
      <c r="I991" s="24"/>
      <c r="J991" s="115">
        <v>2985</v>
      </c>
      <c r="K991" s="88" t="s">
        <v>1754</v>
      </c>
      <c r="L991" s="19"/>
      <c r="M991" s="11" t="s">
        <v>18</v>
      </c>
    </row>
    <row r="992" spans="2:13" s="15" customFormat="1" ht="15" customHeight="1" x14ac:dyDescent="0.25">
      <c r="B992" s="11" t="s">
        <v>2862</v>
      </c>
      <c r="C992" s="105">
        <v>45573</v>
      </c>
      <c r="D992" s="12" t="s">
        <v>2863</v>
      </c>
      <c r="E992" s="11"/>
      <c r="F992" s="23" t="s">
        <v>2864</v>
      </c>
      <c r="G992" s="23"/>
      <c r="H992" s="11"/>
      <c r="I992" s="24"/>
      <c r="J992" s="115">
        <v>641.75</v>
      </c>
      <c r="K992" s="88" t="s">
        <v>17</v>
      </c>
      <c r="L992" s="19"/>
      <c r="M992" s="11" t="s">
        <v>18</v>
      </c>
    </row>
    <row r="993" spans="2:13" s="15" customFormat="1" ht="15" customHeight="1" x14ac:dyDescent="0.25">
      <c r="B993" s="11" t="s">
        <v>2865</v>
      </c>
      <c r="C993" s="105">
        <v>45573</v>
      </c>
      <c r="D993" s="12" t="s">
        <v>564</v>
      </c>
      <c r="E993" s="11"/>
      <c r="F993" s="23" t="s">
        <v>1653</v>
      </c>
      <c r="G993" s="23"/>
      <c r="H993" s="11"/>
      <c r="I993" s="24"/>
      <c r="J993" s="115">
        <v>2475</v>
      </c>
      <c r="K993" s="88" t="s">
        <v>17</v>
      </c>
      <c r="L993" s="19"/>
      <c r="M993" s="11" t="s">
        <v>31</v>
      </c>
    </row>
    <row r="994" spans="2:13" s="15" customFormat="1" ht="15" customHeight="1" x14ac:dyDescent="0.25">
      <c r="B994" s="11" t="s">
        <v>2866</v>
      </c>
      <c r="C994" s="105">
        <v>45573</v>
      </c>
      <c r="D994" s="12" t="s">
        <v>463</v>
      </c>
      <c r="E994" s="11"/>
      <c r="F994" s="23" t="s">
        <v>2867</v>
      </c>
      <c r="G994" s="23"/>
      <c r="H994" s="11"/>
      <c r="I994" s="24"/>
      <c r="J994" s="115">
        <v>3875</v>
      </c>
      <c r="K994" s="88" t="s">
        <v>17</v>
      </c>
      <c r="L994" s="19"/>
      <c r="M994" s="11" t="s">
        <v>31</v>
      </c>
    </row>
    <row r="995" spans="2:13" s="15" customFormat="1" ht="15" customHeight="1" x14ac:dyDescent="0.25">
      <c r="B995" s="11" t="s">
        <v>2868</v>
      </c>
      <c r="C995" s="105">
        <v>45574</v>
      </c>
      <c r="D995" s="132" t="s">
        <v>2364</v>
      </c>
      <c r="E995" s="11"/>
      <c r="F995" s="23" t="s">
        <v>2869</v>
      </c>
      <c r="G995" s="23"/>
      <c r="H995" s="11"/>
      <c r="I995" s="24"/>
      <c r="J995" s="115">
        <v>8025</v>
      </c>
      <c r="K995" s="88" t="s">
        <v>1754</v>
      </c>
      <c r="L995" s="19"/>
      <c r="M995" s="11" t="s">
        <v>18</v>
      </c>
    </row>
    <row r="996" spans="2:13" s="15" customFormat="1" ht="15" customHeight="1" x14ac:dyDescent="0.25">
      <c r="B996" s="11" t="s">
        <v>2870</v>
      </c>
      <c r="C996" s="105">
        <v>45574</v>
      </c>
      <c r="D996" s="12" t="s">
        <v>2871</v>
      </c>
      <c r="E996" s="11"/>
      <c r="F996" s="23" t="s">
        <v>2872</v>
      </c>
      <c r="G996" s="23"/>
      <c r="H996" s="11"/>
      <c r="I996" s="24"/>
      <c r="J996" s="115">
        <v>575</v>
      </c>
      <c r="K996" s="88" t="s">
        <v>17</v>
      </c>
      <c r="L996" s="19"/>
      <c r="M996" s="11" t="s">
        <v>31</v>
      </c>
    </row>
    <row r="997" spans="2:13" s="15" customFormat="1" ht="15" customHeight="1" x14ac:dyDescent="0.25">
      <c r="B997" s="11" t="s">
        <v>2873</v>
      </c>
      <c r="C997" s="105">
        <v>45574</v>
      </c>
      <c r="D997" s="12" t="s">
        <v>574</v>
      </c>
      <c r="E997" s="11"/>
      <c r="F997" s="23" t="s">
        <v>2874</v>
      </c>
      <c r="G997" s="23"/>
      <c r="H997" s="11"/>
      <c r="I997" s="24"/>
      <c r="J997" s="115">
        <v>875</v>
      </c>
      <c r="K997" s="88" t="s">
        <v>17</v>
      </c>
      <c r="L997" s="19"/>
      <c r="M997" s="11" t="s">
        <v>18</v>
      </c>
    </row>
    <row r="998" spans="2:13" s="15" customFormat="1" ht="15" customHeight="1" x14ac:dyDescent="0.25">
      <c r="B998" s="11" t="s">
        <v>2875</v>
      </c>
      <c r="C998" s="105">
        <v>45574</v>
      </c>
      <c r="D998" s="12" t="s">
        <v>388</v>
      </c>
      <c r="E998" s="11"/>
      <c r="F998" s="23" t="s">
        <v>66</v>
      </c>
      <c r="G998" s="23"/>
      <c r="H998" s="11"/>
      <c r="I998" s="24"/>
      <c r="J998" s="115">
        <v>288</v>
      </c>
      <c r="K998" s="88" t="s">
        <v>17</v>
      </c>
      <c r="L998" s="19"/>
      <c r="M998" s="11" t="s">
        <v>31</v>
      </c>
    </row>
    <row r="999" spans="2:13" s="15" customFormat="1" ht="15" customHeight="1" x14ac:dyDescent="0.25">
      <c r="B999" s="11" t="s">
        <v>2876</v>
      </c>
      <c r="C999" s="105">
        <v>45574</v>
      </c>
      <c r="D999" s="12" t="s">
        <v>241</v>
      </c>
      <c r="E999" s="11"/>
      <c r="F999" s="23" t="s">
        <v>197</v>
      </c>
      <c r="G999" s="23"/>
      <c r="H999" s="11"/>
      <c r="I999" s="24"/>
      <c r="J999" s="115">
        <v>405</v>
      </c>
      <c r="K999" s="88" t="s">
        <v>17</v>
      </c>
      <c r="L999" s="19"/>
      <c r="M999" s="11" t="s">
        <v>31</v>
      </c>
    </row>
    <row r="1000" spans="2:13" s="15" customFormat="1" ht="15" customHeight="1" x14ac:dyDescent="0.25">
      <c r="B1000" s="11" t="s">
        <v>2877</v>
      </c>
      <c r="C1000" s="105">
        <v>45575</v>
      </c>
      <c r="D1000" s="12" t="s">
        <v>2878</v>
      </c>
      <c r="E1000" s="11"/>
      <c r="F1000" s="23" t="s">
        <v>2879</v>
      </c>
      <c r="G1000" s="23"/>
      <c r="H1000" s="11"/>
      <c r="I1000" s="24"/>
      <c r="J1000" s="115">
        <v>9173</v>
      </c>
      <c r="K1000" s="88" t="s">
        <v>17</v>
      </c>
      <c r="L1000" s="19"/>
      <c r="M1000" s="11" t="s">
        <v>18</v>
      </c>
    </row>
    <row r="1001" spans="2:13" s="15" customFormat="1" ht="15" customHeight="1" x14ac:dyDescent="0.25">
      <c r="B1001" s="11" t="s">
        <v>2880</v>
      </c>
      <c r="C1001" s="105">
        <v>45575</v>
      </c>
      <c r="D1001" t="s">
        <v>716</v>
      </c>
      <c r="E1001" s="11"/>
      <c r="F1001" s="23" t="s">
        <v>2107</v>
      </c>
      <c r="G1001" s="23"/>
      <c r="H1001" s="11"/>
      <c r="I1001" s="24"/>
      <c r="J1001" s="115">
        <v>4290</v>
      </c>
      <c r="K1001" s="88" t="s">
        <v>17</v>
      </c>
      <c r="L1001" s="19"/>
      <c r="M1001" s="11" t="s">
        <v>31</v>
      </c>
    </row>
    <row r="1002" spans="2:13" s="15" customFormat="1" ht="15" customHeight="1" x14ac:dyDescent="0.25">
      <c r="B1002" s="11" t="s">
        <v>2881</v>
      </c>
      <c r="C1002" s="105">
        <v>45586</v>
      </c>
      <c r="D1002" s="12" t="s">
        <v>1060</v>
      </c>
      <c r="E1002" s="11"/>
      <c r="F1002" s="23" t="s">
        <v>2882</v>
      </c>
      <c r="G1002" s="23"/>
      <c r="H1002" s="11"/>
      <c r="I1002" s="24"/>
      <c r="J1002" s="133">
        <v>29250</v>
      </c>
      <c r="K1002" s="88" t="s">
        <v>17</v>
      </c>
      <c r="L1002" s="19"/>
      <c r="M1002" s="11" t="s">
        <v>18</v>
      </c>
    </row>
    <row r="1003" spans="2:13" s="15" customFormat="1" ht="15" customHeight="1" x14ac:dyDescent="0.25">
      <c r="B1003" s="11" t="s">
        <v>2883</v>
      </c>
      <c r="C1003" s="105">
        <v>45575</v>
      </c>
      <c r="D1003" s="12" t="s">
        <v>2884</v>
      </c>
      <c r="E1003" s="11"/>
      <c r="F1003" s="23" t="s">
        <v>2885</v>
      </c>
      <c r="G1003" s="23"/>
      <c r="H1003" s="11"/>
      <c r="I1003" s="24"/>
      <c r="J1003" s="115">
        <v>750</v>
      </c>
      <c r="K1003" s="88" t="s">
        <v>461</v>
      </c>
      <c r="L1003" s="19"/>
      <c r="M1003" s="11" t="s">
        <v>31</v>
      </c>
    </row>
    <row r="1004" spans="2:13" s="15" customFormat="1" ht="15" customHeight="1" x14ac:dyDescent="0.25">
      <c r="B1004" s="11" t="s">
        <v>2886</v>
      </c>
      <c r="C1004" s="105">
        <v>45575</v>
      </c>
      <c r="D1004" s="12" t="s">
        <v>1603</v>
      </c>
      <c r="E1004" s="11"/>
      <c r="F1004" s="23" t="s">
        <v>2887</v>
      </c>
      <c r="G1004" s="23"/>
      <c r="H1004" s="11"/>
      <c r="I1004" s="24"/>
      <c r="J1004" s="115">
        <v>2255</v>
      </c>
      <c r="K1004" s="88" t="s">
        <v>461</v>
      </c>
      <c r="L1004" s="19"/>
      <c r="M1004" s="11" t="s">
        <v>31</v>
      </c>
    </row>
    <row r="1005" spans="2:13" s="15" customFormat="1" ht="15" customHeight="1" x14ac:dyDescent="0.25">
      <c r="B1005" s="11" t="s">
        <v>2888</v>
      </c>
      <c r="C1005" s="105">
        <v>45575</v>
      </c>
      <c r="D1005" t="s">
        <v>574</v>
      </c>
      <c r="E1005" s="11"/>
      <c r="F1005" t="s">
        <v>2889</v>
      </c>
      <c r="G1005" s="23"/>
      <c r="H1005" s="11"/>
      <c r="I1005" s="24"/>
      <c r="J1005" s="115">
        <v>825</v>
      </c>
      <c r="K1005" s="88" t="s">
        <v>17</v>
      </c>
      <c r="L1005" s="19"/>
      <c r="M1005" s="11" t="s">
        <v>31</v>
      </c>
    </row>
    <row r="1006" spans="2:13" s="15" customFormat="1" ht="15" customHeight="1" x14ac:dyDescent="0.25">
      <c r="B1006" s="11" t="s">
        <v>2890</v>
      </c>
      <c r="C1006" s="105">
        <v>45576</v>
      </c>
      <c r="D1006" s="12" t="s">
        <v>2891</v>
      </c>
      <c r="E1006" s="11"/>
      <c r="F1006" s="23" t="s">
        <v>2892</v>
      </c>
      <c r="G1006" s="23"/>
      <c r="H1006" s="11"/>
      <c r="I1006" s="24"/>
      <c r="J1006" s="115">
        <v>335</v>
      </c>
      <c r="K1006" s="88" t="s">
        <v>17</v>
      </c>
      <c r="L1006" s="19"/>
      <c r="M1006" s="11" t="s">
        <v>31</v>
      </c>
    </row>
    <row r="1007" spans="2:13" s="15" customFormat="1" ht="15" customHeight="1" x14ac:dyDescent="0.25">
      <c r="B1007" s="11" t="s">
        <v>2893</v>
      </c>
      <c r="C1007" s="105">
        <v>45577</v>
      </c>
      <c r="D1007" s="12" t="s">
        <v>574</v>
      </c>
      <c r="E1007" s="11"/>
      <c r="F1007" s="23" t="s">
        <v>2894</v>
      </c>
      <c r="G1007" s="23"/>
      <c r="H1007" s="11"/>
      <c r="I1007" s="24"/>
      <c r="J1007" s="115">
        <v>770</v>
      </c>
      <c r="K1007" s="88" t="s">
        <v>17</v>
      </c>
      <c r="L1007" s="19"/>
      <c r="M1007" s="11" t="s">
        <v>18</v>
      </c>
    </row>
    <row r="1008" spans="2:13" s="15" customFormat="1" ht="15" customHeight="1" x14ac:dyDescent="0.25">
      <c r="B1008" s="11" t="s">
        <v>2895</v>
      </c>
      <c r="C1008" s="105">
        <v>45579</v>
      </c>
      <c r="D1008" s="12" t="s">
        <v>27</v>
      </c>
      <c r="E1008" s="11"/>
      <c r="F1008" s="23" t="s">
        <v>1247</v>
      </c>
      <c r="G1008" s="23"/>
      <c r="H1008" s="11"/>
      <c r="I1008" s="24"/>
      <c r="J1008" s="115">
        <v>325</v>
      </c>
      <c r="K1008" s="88" t="s">
        <v>17</v>
      </c>
      <c r="L1008" s="19"/>
      <c r="M1008" s="11" t="s">
        <v>31</v>
      </c>
    </row>
    <row r="1009" spans="2:13" s="15" customFormat="1" ht="15" customHeight="1" x14ac:dyDescent="0.25">
      <c r="B1009" s="11" t="s">
        <v>2896</v>
      </c>
      <c r="C1009" s="105">
        <v>45579</v>
      </c>
      <c r="D1009" s="12" t="s">
        <v>2897</v>
      </c>
      <c r="E1009" s="11"/>
      <c r="F1009" s="23" t="s">
        <v>2898</v>
      </c>
      <c r="G1009" s="23"/>
      <c r="H1009" s="11"/>
      <c r="I1009" s="24"/>
      <c r="J1009" s="115">
        <v>2900</v>
      </c>
      <c r="K1009" s="88" t="s">
        <v>461</v>
      </c>
      <c r="L1009" s="19"/>
      <c r="M1009" s="11" t="s">
        <v>18</v>
      </c>
    </row>
    <row r="1010" spans="2:13" s="15" customFormat="1" ht="15" customHeight="1" x14ac:dyDescent="0.25">
      <c r="B1010" s="11" t="s">
        <v>2899</v>
      </c>
      <c r="C1010" s="105">
        <v>45579</v>
      </c>
      <c r="D1010" s="12" t="s">
        <v>2897</v>
      </c>
      <c r="E1010" s="11"/>
      <c r="F1010" s="23" t="s">
        <v>2900</v>
      </c>
      <c r="G1010" s="23"/>
      <c r="H1010" s="11"/>
      <c r="I1010" s="24"/>
      <c r="J1010" s="115">
        <v>375</v>
      </c>
      <c r="K1010" s="88" t="s">
        <v>461</v>
      </c>
      <c r="L1010" s="19"/>
      <c r="M1010" s="11" t="s">
        <v>18</v>
      </c>
    </row>
    <row r="1011" spans="2:13" s="15" customFormat="1" ht="15" customHeight="1" x14ac:dyDescent="0.25">
      <c r="B1011" s="11" t="s">
        <v>2901</v>
      </c>
      <c r="C1011" s="105">
        <v>45579</v>
      </c>
      <c r="D1011" s="12" t="s">
        <v>2902</v>
      </c>
      <c r="E1011" s="11"/>
      <c r="F1011" s="23" t="s">
        <v>2903</v>
      </c>
      <c r="G1011" s="23"/>
      <c r="H1011" s="11"/>
      <c r="I1011" s="24"/>
      <c r="J1011" s="115">
        <v>1485</v>
      </c>
      <c r="K1011" s="88" t="s">
        <v>17</v>
      </c>
      <c r="L1011" s="19"/>
      <c r="M1011" s="11" t="s">
        <v>18</v>
      </c>
    </row>
    <row r="1012" spans="2:13" s="15" customFormat="1" ht="15" customHeight="1" x14ac:dyDescent="0.25">
      <c r="B1012" s="11" t="s">
        <v>2904</v>
      </c>
      <c r="C1012" s="105">
        <v>45579</v>
      </c>
      <c r="D1012" s="12" t="s">
        <v>2452</v>
      </c>
      <c r="E1012" s="11"/>
      <c r="F1012" s="23" t="s">
        <v>2905</v>
      </c>
      <c r="G1012" s="23"/>
      <c r="H1012" s="11"/>
      <c r="I1012" s="24"/>
      <c r="J1012" s="134">
        <v>4655</v>
      </c>
      <c r="K1012" s="88" t="s">
        <v>17</v>
      </c>
      <c r="L1012" s="19"/>
      <c r="M1012" s="11" t="s">
        <v>18</v>
      </c>
    </row>
    <row r="1013" spans="2:13" s="15" customFormat="1" ht="15" customHeight="1" x14ac:dyDescent="0.25">
      <c r="B1013" s="11" t="s">
        <v>2906</v>
      </c>
      <c r="C1013" s="105">
        <v>45579</v>
      </c>
      <c r="D1013" s="12" t="s">
        <v>2907</v>
      </c>
      <c r="E1013" s="11"/>
      <c r="F1013" s="23" t="s">
        <v>2908</v>
      </c>
      <c r="G1013" s="23"/>
      <c r="H1013" s="11"/>
      <c r="I1013" s="24"/>
      <c r="J1013" s="117">
        <v>3187.5</v>
      </c>
      <c r="K1013" s="67" t="s">
        <v>17</v>
      </c>
      <c r="L1013" s="135"/>
      <c r="M1013" s="11" t="s">
        <v>31</v>
      </c>
    </row>
    <row r="1014" spans="2:13" s="15" customFormat="1" ht="15" customHeight="1" x14ac:dyDescent="0.25">
      <c r="B1014" s="11" t="s">
        <v>2909</v>
      </c>
      <c r="C1014" s="105">
        <v>45580</v>
      </c>
      <c r="D1014" s="12" t="s">
        <v>44</v>
      </c>
      <c r="E1014" s="11"/>
      <c r="F1014" s="12" t="s">
        <v>2910</v>
      </c>
      <c r="G1014" s="23"/>
      <c r="H1014" s="11"/>
      <c r="I1014" s="24"/>
      <c r="J1014" s="115">
        <v>975</v>
      </c>
      <c r="K1014" s="67" t="s">
        <v>17</v>
      </c>
      <c r="L1014" s="19"/>
      <c r="M1014" s="11" t="s">
        <v>31</v>
      </c>
    </row>
    <row r="1015" spans="2:13" s="15" customFormat="1" ht="15" customHeight="1" x14ac:dyDescent="0.25">
      <c r="B1015" s="11" t="s">
        <v>2911</v>
      </c>
      <c r="C1015" s="105">
        <v>45580</v>
      </c>
      <c r="D1015" s="12" t="s">
        <v>2731</v>
      </c>
      <c r="E1015" s="11"/>
      <c r="F1015" s="12" t="s">
        <v>2912</v>
      </c>
      <c r="G1015" s="23"/>
      <c r="H1015" s="11"/>
      <c r="I1015" s="24"/>
      <c r="J1015" s="115">
        <v>1785</v>
      </c>
      <c r="K1015" s="67" t="s">
        <v>17</v>
      </c>
      <c r="L1015" s="19"/>
      <c r="M1015" s="11" t="s">
        <v>31</v>
      </c>
    </row>
    <row r="1016" spans="2:13" s="15" customFormat="1" ht="15" customHeight="1" x14ac:dyDescent="0.25">
      <c r="B1016" s="11" t="s">
        <v>2913</v>
      </c>
      <c r="C1016" s="105">
        <v>45580</v>
      </c>
      <c r="D1016" s="23" t="s">
        <v>763</v>
      </c>
      <c r="E1016" s="11"/>
      <c r="F1016" s="12" t="s">
        <v>1072</v>
      </c>
      <c r="G1016" s="23"/>
      <c r="H1016" s="11"/>
      <c r="I1016" s="24"/>
      <c r="J1016" s="115">
        <v>835</v>
      </c>
      <c r="K1016" s="88" t="s">
        <v>1754</v>
      </c>
      <c r="L1016" s="19"/>
      <c r="M1016" s="11" t="s">
        <v>18</v>
      </c>
    </row>
    <row r="1017" spans="2:13" s="15" customFormat="1" ht="15" customHeight="1" x14ac:dyDescent="0.25">
      <c r="B1017" s="11" t="s">
        <v>2914</v>
      </c>
      <c r="C1017" s="105">
        <v>45580</v>
      </c>
      <c r="D1017" s="12" t="s">
        <v>574</v>
      </c>
      <c r="E1017" s="11"/>
      <c r="F1017" s="12" t="s">
        <v>2915</v>
      </c>
      <c r="G1017" s="23"/>
      <c r="H1017" s="11"/>
      <c r="I1017" s="24"/>
      <c r="J1017" s="115">
        <v>1175</v>
      </c>
      <c r="K1017" s="88" t="s">
        <v>17</v>
      </c>
      <c r="L1017" s="19"/>
      <c r="M1017" s="11" t="s">
        <v>18</v>
      </c>
    </row>
    <row r="1018" spans="2:13" s="15" customFormat="1" ht="15" customHeight="1" x14ac:dyDescent="0.25">
      <c r="B1018" s="11" t="s">
        <v>2916</v>
      </c>
      <c r="C1018" s="105">
        <v>45580</v>
      </c>
      <c r="D1018" s="102" t="s">
        <v>574</v>
      </c>
      <c r="E1018" s="11"/>
      <c r="F1018" t="s">
        <v>2917</v>
      </c>
      <c r="G1018" s="23"/>
      <c r="H1018" s="11"/>
      <c r="I1018" s="24"/>
      <c r="J1018" s="115">
        <v>3900</v>
      </c>
      <c r="K1018" s="88" t="s">
        <v>17</v>
      </c>
      <c r="L1018" s="19"/>
      <c r="M1018" s="11" t="s">
        <v>31</v>
      </c>
    </row>
    <row r="1019" spans="2:13" s="15" customFormat="1" ht="15" customHeight="1" x14ac:dyDescent="0.25">
      <c r="B1019" s="11" t="s">
        <v>2918</v>
      </c>
      <c r="C1019" s="105">
        <v>45580</v>
      </c>
      <c r="D1019" s="12" t="s">
        <v>392</v>
      </c>
      <c r="E1019" s="11"/>
      <c r="F1019" s="12" t="s">
        <v>2919</v>
      </c>
      <c r="G1019" s="23"/>
      <c r="H1019" s="11"/>
      <c r="I1019" s="24"/>
      <c r="J1019" s="115">
        <v>500</v>
      </c>
      <c r="K1019" s="88" t="s">
        <v>1754</v>
      </c>
      <c r="L1019" s="19"/>
      <c r="M1019" s="11" t="s">
        <v>31</v>
      </c>
    </row>
    <row r="1020" spans="2:13" s="15" customFormat="1" ht="15" customHeight="1" x14ac:dyDescent="0.25">
      <c r="B1020" s="11" t="s">
        <v>2920</v>
      </c>
      <c r="C1020" s="105">
        <v>45580</v>
      </c>
      <c r="D1020" s="12" t="s">
        <v>241</v>
      </c>
      <c r="E1020" s="11"/>
      <c r="F1020" s="12" t="s">
        <v>2921</v>
      </c>
      <c r="G1020" s="23"/>
      <c r="H1020" s="11"/>
      <c r="I1020" s="24"/>
      <c r="J1020" s="115">
        <v>405</v>
      </c>
      <c r="K1020" s="88" t="s">
        <v>17</v>
      </c>
      <c r="L1020" s="19"/>
      <c r="M1020" s="11" t="s">
        <v>31</v>
      </c>
    </row>
    <row r="1021" spans="2:13" s="15" customFormat="1" ht="15" customHeight="1" x14ac:dyDescent="0.25">
      <c r="B1021" s="11" t="s">
        <v>2922</v>
      </c>
      <c r="C1021" s="105">
        <v>45580</v>
      </c>
      <c r="D1021" s="12" t="s">
        <v>2560</v>
      </c>
      <c r="E1021" s="11"/>
      <c r="F1021" s="23" t="s">
        <v>2923</v>
      </c>
      <c r="G1021" s="23"/>
      <c r="H1021" s="11"/>
      <c r="I1021" s="24"/>
      <c r="J1021" s="115">
        <v>6757.5</v>
      </c>
      <c r="K1021" s="88" t="s">
        <v>17</v>
      </c>
      <c r="L1021" s="19"/>
      <c r="M1021" s="11" t="s">
        <v>31</v>
      </c>
    </row>
    <row r="1022" spans="2:13" ht="15" customHeight="1" x14ac:dyDescent="0.25">
      <c r="B1022" s="11" t="s">
        <v>2924</v>
      </c>
      <c r="C1022" s="105">
        <v>45580</v>
      </c>
      <c r="D1022" s="12" t="s">
        <v>2925</v>
      </c>
      <c r="E1022" s="67"/>
      <c r="F1022" s="12" t="s">
        <v>2926</v>
      </c>
      <c r="G1022" s="98"/>
      <c r="H1022" s="67"/>
      <c r="I1022" s="71"/>
      <c r="J1022" s="72">
        <v>4510</v>
      </c>
      <c r="K1022" s="88" t="s">
        <v>17</v>
      </c>
      <c r="L1022" s="73"/>
      <c r="M1022" s="11" t="s">
        <v>31</v>
      </c>
    </row>
    <row r="1023" spans="2:13" ht="15" customHeight="1" x14ac:dyDescent="0.25">
      <c r="B1023" s="11" t="s">
        <v>2927</v>
      </c>
      <c r="C1023" s="105">
        <v>45581</v>
      </c>
      <c r="D1023" s="12" t="s">
        <v>507</v>
      </c>
      <c r="E1023" s="67"/>
      <c r="F1023" s="12" t="s">
        <v>2928</v>
      </c>
      <c r="G1023" s="98"/>
      <c r="H1023" s="67"/>
      <c r="I1023" s="71"/>
      <c r="J1023" s="72">
        <v>285</v>
      </c>
      <c r="K1023" s="88" t="s">
        <v>17</v>
      </c>
      <c r="L1023" s="73"/>
      <c r="M1023" s="11" t="s">
        <v>31</v>
      </c>
    </row>
    <row r="1024" spans="2:13" ht="15" customHeight="1" x14ac:dyDescent="0.25">
      <c r="B1024" s="11" t="s">
        <v>2929</v>
      </c>
      <c r="C1024" s="105">
        <v>45581</v>
      </c>
      <c r="D1024" s="12" t="s">
        <v>1060</v>
      </c>
      <c r="E1024" s="67"/>
      <c r="F1024" s="12" t="s">
        <v>2930</v>
      </c>
      <c r="G1024" s="98"/>
      <c r="H1024" s="67"/>
      <c r="I1024" s="71"/>
      <c r="J1024" s="72">
        <v>320</v>
      </c>
      <c r="K1024" s="88" t="s">
        <v>17</v>
      </c>
      <c r="L1024" s="73"/>
      <c r="M1024" s="11" t="s">
        <v>31</v>
      </c>
    </row>
    <row r="1025" spans="2:13" ht="15" customHeight="1" x14ac:dyDescent="0.25">
      <c r="B1025" s="11" t="s">
        <v>2931</v>
      </c>
      <c r="C1025" s="105">
        <v>45581</v>
      </c>
      <c r="D1025" s="12" t="s">
        <v>574</v>
      </c>
      <c r="E1025" s="67"/>
      <c r="F1025" s="12" t="s">
        <v>2932</v>
      </c>
      <c r="G1025" s="98"/>
      <c r="H1025" s="67"/>
      <c r="I1025" s="71"/>
      <c r="J1025" s="72">
        <v>1260</v>
      </c>
      <c r="K1025" s="88" t="s">
        <v>17</v>
      </c>
      <c r="L1025" s="73"/>
      <c r="M1025" s="11" t="s">
        <v>18</v>
      </c>
    </row>
    <row r="1026" spans="2:13" ht="15" customHeight="1" x14ac:dyDescent="0.25">
      <c r="B1026" s="11" t="s">
        <v>2933</v>
      </c>
      <c r="C1026" s="105">
        <v>45581</v>
      </c>
      <c r="D1026" s="12" t="s">
        <v>574</v>
      </c>
      <c r="E1026" s="67"/>
      <c r="F1026" t="s">
        <v>2934</v>
      </c>
      <c r="G1026" s="98"/>
      <c r="H1026" s="67"/>
      <c r="I1026" s="71"/>
      <c r="J1026" s="72">
        <v>1312.5</v>
      </c>
      <c r="K1026" s="88" t="s">
        <v>17</v>
      </c>
      <c r="L1026" s="73"/>
      <c r="M1026" s="11" t="s">
        <v>18</v>
      </c>
    </row>
    <row r="1027" spans="2:13" ht="15" customHeight="1" x14ac:dyDescent="0.25">
      <c r="B1027" s="11" t="s">
        <v>2935</v>
      </c>
      <c r="C1027" s="105">
        <v>45581</v>
      </c>
      <c r="D1027" s="12" t="s">
        <v>2936</v>
      </c>
      <c r="E1027" s="67"/>
      <c r="F1027" s="12" t="s">
        <v>2937</v>
      </c>
      <c r="G1027" s="98"/>
      <c r="H1027" s="67"/>
      <c r="I1027" s="71"/>
      <c r="J1027" s="72">
        <v>550</v>
      </c>
      <c r="K1027" s="88" t="s">
        <v>461</v>
      </c>
      <c r="L1027" s="73"/>
      <c r="M1027" s="11" t="s">
        <v>31</v>
      </c>
    </row>
    <row r="1028" spans="2:13" ht="15" customHeight="1" x14ac:dyDescent="0.25">
      <c r="B1028" s="11" t="s">
        <v>2938</v>
      </c>
      <c r="C1028" s="105">
        <v>45581</v>
      </c>
      <c r="D1028" s="12" t="s">
        <v>574</v>
      </c>
      <c r="E1028" s="67"/>
      <c r="F1028" s="12" t="s">
        <v>2939</v>
      </c>
      <c r="G1028" s="98"/>
      <c r="H1028" s="67"/>
      <c r="I1028" s="71"/>
      <c r="J1028" s="72">
        <v>6545</v>
      </c>
      <c r="K1028" s="88" t="s">
        <v>17</v>
      </c>
      <c r="L1028" s="73"/>
      <c r="M1028" s="11" t="s">
        <v>18</v>
      </c>
    </row>
    <row r="1029" spans="2:13" ht="15" customHeight="1" x14ac:dyDescent="0.25">
      <c r="B1029" s="11" t="s">
        <v>2940</v>
      </c>
      <c r="C1029" s="105">
        <v>45582</v>
      </c>
      <c r="D1029" s="12" t="s">
        <v>463</v>
      </c>
      <c r="E1029" s="67"/>
      <c r="F1029" t="s">
        <v>2941</v>
      </c>
      <c r="G1029" s="98"/>
      <c r="H1029" s="67"/>
      <c r="I1029" s="71"/>
      <c r="J1029" s="72">
        <v>660</v>
      </c>
      <c r="K1029" s="88" t="s">
        <v>17</v>
      </c>
      <c r="L1029" s="73"/>
      <c r="M1029" s="11" t="s">
        <v>31</v>
      </c>
    </row>
    <row r="1030" spans="2:13" ht="15" customHeight="1" x14ac:dyDescent="0.25">
      <c r="B1030" s="11" t="s">
        <v>2942</v>
      </c>
      <c r="C1030" s="105">
        <v>45583</v>
      </c>
      <c r="D1030" s="12" t="s">
        <v>2943</v>
      </c>
      <c r="E1030" s="67"/>
      <c r="F1030" s="12" t="s">
        <v>2944</v>
      </c>
      <c r="G1030" s="98"/>
      <c r="H1030" s="67"/>
      <c r="I1030" s="71"/>
      <c r="J1030" s="72">
        <v>525</v>
      </c>
      <c r="K1030" s="88" t="s">
        <v>1754</v>
      </c>
      <c r="L1030" s="73"/>
      <c r="M1030" s="11" t="s">
        <v>31</v>
      </c>
    </row>
    <row r="1031" spans="2:13" ht="15" customHeight="1" x14ac:dyDescent="0.25">
      <c r="B1031" s="11" t="s">
        <v>2945</v>
      </c>
      <c r="C1031" s="105">
        <v>45611</v>
      </c>
      <c r="D1031" s="12" t="s">
        <v>241</v>
      </c>
      <c r="E1031" s="67"/>
      <c r="F1031" s="12" t="s">
        <v>2946</v>
      </c>
      <c r="G1031" s="98"/>
      <c r="H1031" s="67"/>
      <c r="I1031" s="71"/>
      <c r="J1031" s="72">
        <v>2825</v>
      </c>
      <c r="K1031" s="88" t="s">
        <v>17</v>
      </c>
      <c r="L1031" s="73"/>
      <c r="M1031" s="11" t="s">
        <v>31</v>
      </c>
    </row>
    <row r="1032" spans="2:13" ht="15" customHeight="1" x14ac:dyDescent="0.25">
      <c r="B1032" s="11" t="s">
        <v>2947</v>
      </c>
      <c r="C1032" s="105">
        <v>45583</v>
      </c>
      <c r="D1032" s="12" t="s">
        <v>2948</v>
      </c>
      <c r="E1032" s="67"/>
      <c r="F1032" s="12" t="s">
        <v>780</v>
      </c>
      <c r="G1032" s="98"/>
      <c r="H1032" s="67"/>
      <c r="I1032" s="71"/>
      <c r="J1032" s="72">
        <v>7425</v>
      </c>
      <c r="K1032" s="88" t="s">
        <v>17</v>
      </c>
      <c r="L1032" s="73"/>
      <c r="M1032" s="11" t="s">
        <v>31</v>
      </c>
    </row>
    <row r="1033" spans="2:13" ht="15" customHeight="1" x14ac:dyDescent="0.25">
      <c r="B1033" s="11" t="s">
        <v>2949</v>
      </c>
      <c r="C1033" s="105">
        <v>45584</v>
      </c>
      <c r="D1033" s="12" t="s">
        <v>1060</v>
      </c>
      <c r="E1033" s="67"/>
      <c r="F1033" s="12" t="s">
        <v>2950</v>
      </c>
      <c r="G1033" s="98"/>
      <c r="H1033" s="67"/>
      <c r="I1033" s="71"/>
      <c r="J1033" s="72">
        <v>4500</v>
      </c>
      <c r="K1033" s="88" t="s">
        <v>17</v>
      </c>
      <c r="L1033" s="73"/>
      <c r="M1033" s="11" t="s">
        <v>31</v>
      </c>
    </row>
    <row r="1034" spans="2:13" ht="15" customHeight="1" x14ac:dyDescent="0.25">
      <c r="B1034" s="11" t="s">
        <v>2951</v>
      </c>
      <c r="C1034" s="105">
        <v>45584</v>
      </c>
      <c r="D1034" s="12" t="s">
        <v>1060</v>
      </c>
      <c r="E1034" s="67"/>
      <c r="F1034" s="12" t="s">
        <v>2952</v>
      </c>
      <c r="G1034" s="98"/>
      <c r="H1034" s="67"/>
      <c r="I1034" s="71"/>
      <c r="J1034" s="72">
        <v>930.5</v>
      </c>
      <c r="K1034" s="88" t="s">
        <v>17</v>
      </c>
      <c r="L1034" s="73"/>
      <c r="M1034" s="11" t="s">
        <v>31</v>
      </c>
    </row>
    <row r="1035" spans="2:13" ht="15" customHeight="1" x14ac:dyDescent="0.25">
      <c r="B1035" s="11" t="s">
        <v>2953</v>
      </c>
      <c r="C1035" s="105">
        <v>45586</v>
      </c>
      <c r="D1035" s="12" t="s">
        <v>1459</v>
      </c>
      <c r="E1035" s="67"/>
      <c r="F1035" s="12" t="s">
        <v>2954</v>
      </c>
      <c r="G1035" s="98"/>
      <c r="H1035" s="67"/>
      <c r="I1035" s="71"/>
      <c r="J1035" s="72">
        <v>1650</v>
      </c>
      <c r="K1035" s="88" t="s">
        <v>17</v>
      </c>
      <c r="L1035" s="73"/>
      <c r="M1035" s="11" t="s">
        <v>31</v>
      </c>
    </row>
    <row r="1036" spans="2:13" ht="15" customHeight="1" x14ac:dyDescent="0.25">
      <c r="B1036" s="11" t="s">
        <v>2955</v>
      </c>
      <c r="C1036" s="105">
        <v>45586</v>
      </c>
      <c r="D1036" s="12" t="s">
        <v>211</v>
      </c>
      <c r="E1036" s="136"/>
      <c r="F1036" s="12" t="s">
        <v>2956</v>
      </c>
      <c r="G1036" s="137"/>
      <c r="H1036" s="67"/>
      <c r="I1036" s="138"/>
      <c r="J1036" s="72">
        <v>2175</v>
      </c>
      <c r="K1036" s="126" t="s">
        <v>17</v>
      </c>
      <c r="L1036" s="73"/>
      <c r="M1036" s="11" t="s">
        <v>18</v>
      </c>
    </row>
    <row r="1037" spans="2:13" ht="15" customHeight="1" x14ac:dyDescent="0.25">
      <c r="B1037" s="8" t="s">
        <v>2957</v>
      </c>
      <c r="C1037" s="128">
        <v>45586</v>
      </c>
      <c r="D1037" s="10" t="s">
        <v>1459</v>
      </c>
      <c r="E1037" s="67"/>
      <c r="F1037" s="10" t="s">
        <v>2958</v>
      </c>
      <c r="G1037" s="98"/>
      <c r="H1037" s="67"/>
      <c r="I1037" s="71"/>
      <c r="J1037" s="139">
        <v>36815</v>
      </c>
      <c r="K1037" s="88" t="s">
        <v>17</v>
      </c>
      <c r="L1037" s="73"/>
      <c r="M1037" s="11" t="s">
        <v>31</v>
      </c>
    </row>
    <row r="1038" spans="2:13" ht="15" customHeight="1" x14ac:dyDescent="0.25">
      <c r="B1038" s="11" t="s">
        <v>2959</v>
      </c>
      <c r="C1038" s="105">
        <v>45587</v>
      </c>
      <c r="D1038" s="12" t="s">
        <v>1060</v>
      </c>
      <c r="E1038" s="67"/>
      <c r="F1038" s="12" t="s">
        <v>2960</v>
      </c>
      <c r="G1038" s="98"/>
      <c r="H1038" s="67"/>
      <c r="I1038" s="71"/>
      <c r="J1038" s="72">
        <v>490</v>
      </c>
      <c r="K1038" s="88" t="s">
        <v>17</v>
      </c>
      <c r="L1038" s="73"/>
      <c r="M1038" s="11" t="s">
        <v>31</v>
      </c>
    </row>
    <row r="1039" spans="2:13" ht="15" customHeight="1" x14ac:dyDescent="0.25">
      <c r="B1039" s="11" t="s">
        <v>2961</v>
      </c>
      <c r="C1039" s="105">
        <v>45587</v>
      </c>
      <c r="D1039" s="12" t="s">
        <v>1060</v>
      </c>
      <c r="E1039" s="67"/>
      <c r="F1039" s="15" t="s">
        <v>2962</v>
      </c>
      <c r="G1039" s="98"/>
      <c r="H1039" s="67"/>
      <c r="I1039" s="71"/>
      <c r="J1039" s="72">
        <v>49</v>
      </c>
      <c r="K1039" s="88" t="s">
        <v>17</v>
      </c>
      <c r="L1039" s="73"/>
      <c r="M1039" s="11" t="s">
        <v>31</v>
      </c>
    </row>
    <row r="1040" spans="2:13" ht="15" customHeight="1" x14ac:dyDescent="0.25">
      <c r="B1040" s="11" t="s">
        <v>2963</v>
      </c>
      <c r="C1040" s="105">
        <v>45593</v>
      </c>
      <c r="D1040" s="66" t="s">
        <v>2445</v>
      </c>
      <c r="E1040" s="67"/>
      <c r="F1040" s="66" t="s">
        <v>2964</v>
      </c>
      <c r="G1040" s="98"/>
      <c r="H1040" s="67"/>
      <c r="I1040" s="71"/>
      <c r="J1040" s="140">
        <v>1335</v>
      </c>
      <c r="K1040" s="88" t="s">
        <v>1754</v>
      </c>
      <c r="L1040" s="73"/>
      <c r="M1040" s="11" t="s">
        <v>18</v>
      </c>
    </row>
    <row r="1041" spans="2:13" ht="15" customHeight="1" x14ac:dyDescent="0.25">
      <c r="B1041" s="11" t="s">
        <v>2965</v>
      </c>
      <c r="C1041" s="105">
        <v>45587</v>
      </c>
      <c r="D1041" s="12" t="s">
        <v>2966</v>
      </c>
      <c r="E1041" s="67"/>
      <c r="F1041" s="12" t="s">
        <v>2967</v>
      </c>
      <c r="G1041" s="98"/>
      <c r="H1041" s="67"/>
      <c r="I1041" s="71"/>
      <c r="J1041" s="72">
        <v>575</v>
      </c>
      <c r="K1041" s="88" t="s">
        <v>1754</v>
      </c>
      <c r="L1041" s="73"/>
      <c r="M1041" s="11" t="s">
        <v>31</v>
      </c>
    </row>
    <row r="1042" spans="2:13" ht="15" customHeight="1" x14ac:dyDescent="0.25">
      <c r="B1042" s="11" t="s">
        <v>2968</v>
      </c>
      <c r="C1042" s="105">
        <v>45587</v>
      </c>
      <c r="D1042" s="12" t="s">
        <v>574</v>
      </c>
      <c r="E1042" s="67"/>
      <c r="F1042" s="12" t="s">
        <v>2969</v>
      </c>
      <c r="G1042" s="98"/>
      <c r="H1042" s="67"/>
      <c r="I1042" s="71"/>
      <c r="J1042" s="72">
        <v>1975</v>
      </c>
      <c r="K1042" s="88" t="s">
        <v>17</v>
      </c>
      <c r="L1042" s="73"/>
      <c r="M1042" s="11" t="s">
        <v>18</v>
      </c>
    </row>
    <row r="1043" spans="2:13" ht="15" customHeight="1" x14ac:dyDescent="0.25">
      <c r="B1043" s="11" t="s">
        <v>2970</v>
      </c>
      <c r="C1043" s="105">
        <v>45589</v>
      </c>
      <c r="D1043" s="12" t="s">
        <v>716</v>
      </c>
      <c r="E1043" s="67"/>
      <c r="F1043" s="12" t="s">
        <v>1245</v>
      </c>
      <c r="G1043" s="98"/>
      <c r="H1043" s="67"/>
      <c r="I1043" s="71"/>
      <c r="J1043" s="72">
        <v>1052.7</v>
      </c>
      <c r="K1043" s="88" t="s">
        <v>1754</v>
      </c>
      <c r="L1043" s="73"/>
      <c r="M1043" s="11" t="s">
        <v>31</v>
      </c>
    </row>
    <row r="1044" spans="2:13" ht="15" customHeight="1" x14ac:dyDescent="0.25">
      <c r="B1044" s="11" t="s">
        <v>2971</v>
      </c>
      <c r="C1044" s="105">
        <v>45588</v>
      </c>
      <c r="D1044" s="12" t="s">
        <v>2972</v>
      </c>
      <c r="E1044" s="67"/>
      <c r="F1044" s="12" t="s">
        <v>2973</v>
      </c>
      <c r="G1044" s="98"/>
      <c r="H1044" s="67"/>
      <c r="I1044" s="71"/>
      <c r="J1044" s="72">
        <v>710</v>
      </c>
      <c r="K1044" s="88" t="s">
        <v>17</v>
      </c>
      <c r="L1044" s="73"/>
      <c r="M1044" s="11" t="s">
        <v>31</v>
      </c>
    </row>
    <row r="1045" spans="2:13" ht="15" customHeight="1" x14ac:dyDescent="0.25">
      <c r="B1045" s="11" t="s">
        <v>2974</v>
      </c>
      <c r="C1045" s="105">
        <v>45588</v>
      </c>
      <c r="D1045" s="12" t="s">
        <v>2975</v>
      </c>
      <c r="E1045" s="67"/>
      <c r="F1045" s="12" t="s">
        <v>932</v>
      </c>
      <c r="G1045" s="98"/>
      <c r="H1045" s="67"/>
      <c r="I1045" s="71"/>
      <c r="J1045" s="72">
        <v>1560</v>
      </c>
      <c r="K1045" s="88" t="s">
        <v>17</v>
      </c>
      <c r="L1045" s="73"/>
      <c r="M1045" s="11" t="s">
        <v>31</v>
      </c>
    </row>
    <row r="1046" spans="2:13" ht="15" customHeight="1" x14ac:dyDescent="0.25">
      <c r="B1046" s="11" t="s">
        <v>2976</v>
      </c>
      <c r="C1046" s="105">
        <v>45588</v>
      </c>
      <c r="D1046" s="12" t="s">
        <v>241</v>
      </c>
      <c r="E1046" s="67"/>
      <c r="F1046" s="12" t="s">
        <v>2977</v>
      </c>
      <c r="G1046" s="98"/>
      <c r="H1046" s="67"/>
      <c r="I1046" s="71"/>
      <c r="J1046" s="72">
        <v>3150</v>
      </c>
      <c r="K1046" s="88" t="s">
        <v>17</v>
      </c>
      <c r="L1046" s="73"/>
      <c r="M1046" s="11" t="s">
        <v>31</v>
      </c>
    </row>
    <row r="1047" spans="2:13" ht="15" customHeight="1" x14ac:dyDescent="0.25">
      <c r="B1047" s="11" t="s">
        <v>2978</v>
      </c>
      <c r="C1047" s="105">
        <v>45588</v>
      </c>
      <c r="D1047" s="12" t="s">
        <v>1295</v>
      </c>
      <c r="E1047" s="67"/>
      <c r="F1047" s="12" t="s">
        <v>2979</v>
      </c>
      <c r="G1047" s="98"/>
      <c r="H1047" s="67"/>
      <c r="I1047" s="71"/>
      <c r="J1047" s="72">
        <v>675</v>
      </c>
      <c r="K1047" s="88" t="s">
        <v>17</v>
      </c>
      <c r="L1047" s="73"/>
      <c r="M1047" s="11" t="s">
        <v>18</v>
      </c>
    </row>
    <row r="1048" spans="2:13" ht="15" customHeight="1" x14ac:dyDescent="0.25">
      <c r="B1048" s="11" t="s">
        <v>2980</v>
      </c>
      <c r="C1048" s="105">
        <v>45588</v>
      </c>
      <c r="D1048" s="12" t="s">
        <v>292</v>
      </c>
      <c r="E1048" s="67"/>
      <c r="F1048" s="12" t="s">
        <v>2981</v>
      </c>
      <c r="G1048" s="98"/>
      <c r="H1048" s="67"/>
      <c r="I1048" s="71"/>
      <c r="J1048" s="72">
        <v>435</v>
      </c>
      <c r="K1048" s="88" t="s">
        <v>1754</v>
      </c>
      <c r="L1048" s="73"/>
      <c r="M1048" s="11" t="s">
        <v>31</v>
      </c>
    </row>
    <row r="1049" spans="2:13" ht="15" customHeight="1" x14ac:dyDescent="0.25">
      <c r="B1049" s="11" t="s">
        <v>2982</v>
      </c>
      <c r="C1049" s="105">
        <v>45588</v>
      </c>
      <c r="D1049" s="12" t="s">
        <v>2638</v>
      </c>
      <c r="E1049" s="67"/>
      <c r="F1049" s="12" t="s">
        <v>2983</v>
      </c>
      <c r="G1049" s="98"/>
      <c r="H1049" s="67"/>
      <c r="I1049" s="71"/>
      <c r="J1049" s="72">
        <v>925</v>
      </c>
      <c r="K1049" s="88" t="s">
        <v>17</v>
      </c>
      <c r="L1049" s="73"/>
      <c r="M1049" s="11" t="s">
        <v>31</v>
      </c>
    </row>
    <row r="1050" spans="2:13" ht="15" customHeight="1" x14ac:dyDescent="0.25">
      <c r="B1050" s="11" t="s">
        <v>2984</v>
      </c>
      <c r="C1050" s="105">
        <v>45589</v>
      </c>
      <c r="D1050" s="12" t="s">
        <v>2985</v>
      </c>
      <c r="E1050" s="67"/>
      <c r="F1050" t="s">
        <v>2986</v>
      </c>
      <c r="G1050" s="98"/>
      <c r="H1050" s="67"/>
      <c r="I1050" s="71"/>
      <c r="J1050" s="72">
        <v>2700</v>
      </c>
      <c r="K1050" s="88" t="s">
        <v>17</v>
      </c>
      <c r="L1050" s="73"/>
      <c r="M1050" s="11" t="s">
        <v>18</v>
      </c>
    </row>
    <row r="1051" spans="2:13" ht="15" customHeight="1" x14ac:dyDescent="0.25">
      <c r="B1051" s="11" t="s">
        <v>2987</v>
      </c>
      <c r="C1051" s="105">
        <v>45589</v>
      </c>
      <c r="D1051" s="12" t="s">
        <v>642</v>
      </c>
      <c r="E1051" s="67"/>
      <c r="F1051" s="12" t="s">
        <v>2988</v>
      </c>
      <c r="G1051" s="98"/>
      <c r="H1051" s="67"/>
      <c r="I1051" s="71"/>
      <c r="J1051" s="72">
        <v>3052.5</v>
      </c>
      <c r="K1051" s="88" t="s">
        <v>17</v>
      </c>
      <c r="L1051" s="73"/>
      <c r="M1051" s="11" t="s">
        <v>31</v>
      </c>
    </row>
    <row r="1052" spans="2:13" ht="15" customHeight="1" x14ac:dyDescent="0.25">
      <c r="B1052" s="11" t="s">
        <v>2989</v>
      </c>
      <c r="C1052" s="105">
        <v>45589</v>
      </c>
      <c r="D1052" s="12" t="s">
        <v>642</v>
      </c>
      <c r="E1052" s="67"/>
      <c r="F1052" s="12" t="s">
        <v>1245</v>
      </c>
      <c r="G1052" s="98"/>
      <c r="H1052" s="67"/>
      <c r="I1052" s="71"/>
      <c r="J1052" s="72">
        <v>1920</v>
      </c>
      <c r="K1052" s="88" t="s">
        <v>17</v>
      </c>
      <c r="L1052" s="73"/>
      <c r="M1052" s="11" t="s">
        <v>18</v>
      </c>
    </row>
    <row r="1053" spans="2:13" ht="15" customHeight="1" x14ac:dyDescent="0.25">
      <c r="B1053" s="11" t="s">
        <v>2990</v>
      </c>
      <c r="C1053" s="105">
        <v>45590</v>
      </c>
      <c r="D1053" s="12" t="s">
        <v>2991</v>
      </c>
      <c r="E1053" s="67"/>
      <c r="F1053" s="12" t="s">
        <v>2992</v>
      </c>
      <c r="G1053" s="98"/>
      <c r="H1053" s="67"/>
      <c r="I1053" s="71"/>
      <c r="J1053" s="72">
        <v>1650</v>
      </c>
      <c r="K1053" s="88" t="s">
        <v>17</v>
      </c>
      <c r="L1053" s="73"/>
      <c r="M1053" s="11" t="s">
        <v>18</v>
      </c>
    </row>
    <row r="1054" spans="2:13" ht="15" customHeight="1" x14ac:dyDescent="0.25">
      <c r="B1054" s="11" t="s">
        <v>2993</v>
      </c>
      <c r="C1054" s="105">
        <v>45594</v>
      </c>
      <c r="D1054" s="66" t="s">
        <v>2994</v>
      </c>
      <c r="E1054" s="67"/>
      <c r="F1054" s="66" t="s">
        <v>2995</v>
      </c>
      <c r="G1054" s="98"/>
      <c r="H1054" s="67"/>
      <c r="I1054" s="71"/>
      <c r="J1054" s="140">
        <v>1012.5</v>
      </c>
      <c r="K1054" s="88" t="s">
        <v>1754</v>
      </c>
      <c r="L1054" s="73"/>
      <c r="M1054" s="11" t="s">
        <v>18</v>
      </c>
    </row>
    <row r="1055" spans="2:13" ht="15" customHeight="1" x14ac:dyDescent="0.25">
      <c r="B1055" s="11" t="s">
        <v>2996</v>
      </c>
      <c r="C1055" s="105">
        <v>45593</v>
      </c>
      <c r="D1055" s="12" t="s">
        <v>27</v>
      </c>
      <c r="E1055" s="67"/>
      <c r="F1055" s="12" t="s">
        <v>2997</v>
      </c>
      <c r="G1055" s="98"/>
      <c r="H1055" s="67"/>
      <c r="I1055" s="71"/>
      <c r="J1055" s="72">
        <v>325</v>
      </c>
      <c r="K1055" s="88" t="s">
        <v>17</v>
      </c>
      <c r="L1055" s="73"/>
      <c r="M1055" s="11" t="s">
        <v>31</v>
      </c>
    </row>
    <row r="1056" spans="2:13" ht="15" customHeight="1" x14ac:dyDescent="0.25">
      <c r="B1056" s="11" t="s">
        <v>2998</v>
      </c>
      <c r="C1056" s="105">
        <v>45593</v>
      </c>
      <c r="D1056" s="12" t="s">
        <v>27</v>
      </c>
      <c r="E1056" s="67"/>
      <c r="F1056" s="12" t="s">
        <v>2999</v>
      </c>
      <c r="G1056" s="98"/>
      <c r="H1056" s="67"/>
      <c r="I1056" s="71"/>
      <c r="J1056" s="72">
        <v>5225</v>
      </c>
      <c r="K1056" s="88" t="s">
        <v>17</v>
      </c>
      <c r="L1056" s="73"/>
      <c r="M1056" s="11" t="s">
        <v>31</v>
      </c>
    </row>
    <row r="1057" spans="2:13" ht="15" customHeight="1" x14ac:dyDescent="0.25">
      <c r="B1057" s="11" t="s">
        <v>3000</v>
      </c>
      <c r="C1057" s="105">
        <v>45593</v>
      </c>
      <c r="D1057" s="12" t="s">
        <v>193</v>
      </c>
      <c r="E1057" s="67"/>
      <c r="F1057" s="12" t="s">
        <v>3001</v>
      </c>
      <c r="G1057" s="98"/>
      <c r="H1057" s="67"/>
      <c r="I1057" s="71"/>
      <c r="J1057" s="72">
        <v>675</v>
      </c>
      <c r="K1057" s="88" t="s">
        <v>17</v>
      </c>
      <c r="L1057" s="73"/>
      <c r="M1057" s="11" t="s">
        <v>31</v>
      </c>
    </row>
    <row r="1058" spans="2:13" ht="15" customHeight="1" x14ac:dyDescent="0.25">
      <c r="B1058" s="11" t="s">
        <v>3002</v>
      </c>
      <c r="C1058" s="105">
        <v>45593</v>
      </c>
      <c r="D1058" s="132" t="s">
        <v>3003</v>
      </c>
      <c r="E1058" s="67"/>
      <c r="F1058" s="12" t="s">
        <v>3004</v>
      </c>
      <c r="G1058" s="98"/>
      <c r="H1058" s="67"/>
      <c r="I1058" s="71"/>
      <c r="J1058" s="72">
        <v>6700</v>
      </c>
      <c r="K1058" s="88" t="s">
        <v>1754</v>
      </c>
      <c r="L1058" s="73"/>
      <c r="M1058" s="11" t="s">
        <v>18</v>
      </c>
    </row>
    <row r="1059" spans="2:13" ht="15" customHeight="1" x14ac:dyDescent="0.25">
      <c r="B1059" s="11" t="s">
        <v>3005</v>
      </c>
      <c r="C1059" s="105">
        <v>45594</v>
      </c>
      <c r="D1059" s="12" t="s">
        <v>27</v>
      </c>
      <c r="E1059" s="67"/>
      <c r="F1059" s="12" t="s">
        <v>3006</v>
      </c>
      <c r="G1059" s="98"/>
      <c r="H1059" s="67"/>
      <c r="I1059" s="71"/>
      <c r="J1059" s="72">
        <v>765</v>
      </c>
      <c r="K1059" s="88" t="s">
        <v>17</v>
      </c>
      <c r="L1059" s="73"/>
      <c r="M1059" s="11" t="s">
        <v>18</v>
      </c>
    </row>
    <row r="1060" spans="2:13" ht="15" customHeight="1" x14ac:dyDescent="0.25">
      <c r="B1060" s="11" t="s">
        <v>3007</v>
      </c>
      <c r="C1060" s="105">
        <v>45594</v>
      </c>
      <c r="D1060" s="12" t="s">
        <v>3008</v>
      </c>
      <c r="E1060" s="67"/>
      <c r="F1060" s="12" t="s">
        <v>3009</v>
      </c>
      <c r="G1060" s="98"/>
      <c r="H1060" s="67"/>
      <c r="I1060" s="71"/>
      <c r="J1060" s="72">
        <v>1525</v>
      </c>
      <c r="K1060" s="88" t="s">
        <v>17</v>
      </c>
      <c r="L1060" s="73"/>
      <c r="M1060" s="11" t="s">
        <v>31</v>
      </c>
    </row>
    <row r="1061" spans="2:13" ht="15" customHeight="1" x14ac:dyDescent="0.25">
      <c r="B1061" s="11" t="s">
        <v>3010</v>
      </c>
      <c r="C1061" s="105">
        <v>45594</v>
      </c>
      <c r="D1061" s="12" t="s">
        <v>3008</v>
      </c>
      <c r="E1061" s="67"/>
      <c r="F1061" s="12" t="s">
        <v>3011</v>
      </c>
      <c r="G1061" s="98"/>
      <c r="H1061" s="67"/>
      <c r="I1061" s="71"/>
      <c r="J1061" s="72">
        <v>1747.5</v>
      </c>
      <c r="K1061" s="88" t="s">
        <v>17</v>
      </c>
      <c r="L1061" s="73"/>
      <c r="M1061" s="11" t="s">
        <v>31</v>
      </c>
    </row>
    <row r="1062" spans="2:13" ht="15" customHeight="1" x14ac:dyDescent="0.25">
      <c r="B1062" s="11" t="s">
        <v>3012</v>
      </c>
      <c r="C1062" s="105">
        <v>45594</v>
      </c>
      <c r="D1062" s="12" t="s">
        <v>2131</v>
      </c>
      <c r="E1062" s="67"/>
      <c r="F1062" s="12" t="s">
        <v>3013</v>
      </c>
      <c r="G1062" s="98"/>
      <c r="H1062" s="67"/>
      <c r="I1062" s="71"/>
      <c r="J1062" s="72">
        <v>2055</v>
      </c>
      <c r="K1062" s="88" t="s">
        <v>17</v>
      </c>
      <c r="L1062" s="73"/>
      <c r="M1062" s="11" t="s">
        <v>18</v>
      </c>
    </row>
    <row r="1063" spans="2:13" ht="15" customHeight="1" x14ac:dyDescent="0.25">
      <c r="B1063" s="11" t="s">
        <v>3014</v>
      </c>
      <c r="C1063" s="105">
        <v>45594</v>
      </c>
      <c r="D1063" s="12" t="s">
        <v>3015</v>
      </c>
      <c r="E1063" s="67"/>
      <c r="F1063" s="12" t="s">
        <v>3016</v>
      </c>
      <c r="G1063" s="98"/>
      <c r="H1063" s="67"/>
      <c r="I1063" s="71"/>
      <c r="J1063" s="72">
        <v>700</v>
      </c>
      <c r="K1063" s="88" t="s">
        <v>17</v>
      </c>
      <c r="L1063" s="73"/>
      <c r="M1063" s="11" t="s">
        <v>18</v>
      </c>
    </row>
    <row r="1064" spans="2:13" ht="15" customHeight="1" x14ac:dyDescent="0.25">
      <c r="B1064" s="11" t="s">
        <v>3017</v>
      </c>
      <c r="C1064" s="105">
        <v>45594</v>
      </c>
      <c r="D1064" s="12" t="s">
        <v>2794</v>
      </c>
      <c r="E1064" s="67"/>
      <c r="F1064" s="12" t="s">
        <v>3018</v>
      </c>
      <c r="G1064" s="98"/>
      <c r="H1064" s="67"/>
      <c r="I1064" s="71"/>
      <c r="J1064" s="72">
        <v>460</v>
      </c>
      <c r="K1064" s="88" t="s">
        <v>17</v>
      </c>
      <c r="L1064" s="73"/>
      <c r="M1064" s="11" t="s">
        <v>18</v>
      </c>
    </row>
    <row r="1065" spans="2:13" ht="15" customHeight="1" x14ac:dyDescent="0.25">
      <c r="B1065" s="11" t="s">
        <v>3019</v>
      </c>
      <c r="C1065" s="105">
        <v>45595</v>
      </c>
      <c r="D1065" s="12" t="s">
        <v>763</v>
      </c>
      <c r="E1065" s="67"/>
      <c r="F1065" s="12" t="s">
        <v>3020</v>
      </c>
      <c r="G1065" s="98"/>
      <c r="H1065" s="67"/>
      <c r="I1065" s="71"/>
      <c r="J1065" s="72">
        <v>850</v>
      </c>
      <c r="K1065" s="88" t="s">
        <v>1754</v>
      </c>
      <c r="L1065" s="73"/>
      <c r="M1065" s="11" t="s">
        <v>31</v>
      </c>
    </row>
    <row r="1066" spans="2:13" ht="15" customHeight="1" x14ac:dyDescent="0.25">
      <c r="B1066" s="11" t="s">
        <v>3021</v>
      </c>
      <c r="C1066" s="105">
        <v>45595</v>
      </c>
      <c r="D1066" s="12" t="s">
        <v>3022</v>
      </c>
      <c r="E1066" s="67"/>
      <c r="F1066" s="12" t="s">
        <v>3023</v>
      </c>
      <c r="G1066" s="98"/>
      <c r="H1066" s="67"/>
      <c r="I1066" s="71"/>
      <c r="J1066" s="72">
        <v>16825</v>
      </c>
      <c r="K1066" s="88" t="s">
        <v>1754</v>
      </c>
      <c r="L1066" s="73"/>
      <c r="M1066" s="11" t="s">
        <v>18</v>
      </c>
    </row>
    <row r="1067" spans="2:13" ht="15" customHeight="1" x14ac:dyDescent="0.25">
      <c r="B1067" s="11" t="s">
        <v>3024</v>
      </c>
      <c r="C1067" s="105">
        <v>45595</v>
      </c>
      <c r="D1067" s="12" t="s">
        <v>3025</v>
      </c>
      <c r="E1067" s="67"/>
      <c r="F1067" s="12" t="s">
        <v>22</v>
      </c>
      <c r="G1067" s="98"/>
      <c r="H1067" s="67"/>
      <c r="I1067" s="71"/>
      <c r="J1067" s="72">
        <v>485</v>
      </c>
      <c r="K1067" s="88" t="s">
        <v>1754</v>
      </c>
      <c r="L1067" s="73"/>
      <c r="M1067" s="11" t="s">
        <v>18</v>
      </c>
    </row>
    <row r="1068" spans="2:13" ht="15" customHeight="1" x14ac:dyDescent="0.25">
      <c r="B1068" s="11" t="s">
        <v>3026</v>
      </c>
      <c r="C1068" s="105">
        <v>45595</v>
      </c>
      <c r="D1068" s="12" t="s">
        <v>27</v>
      </c>
      <c r="E1068" s="67"/>
      <c r="F1068" s="12" t="s">
        <v>3027</v>
      </c>
      <c r="G1068" s="98"/>
      <c r="H1068" s="67"/>
      <c r="I1068" s="71"/>
      <c r="J1068" s="72">
        <v>410</v>
      </c>
      <c r="K1068" s="88" t="s">
        <v>17</v>
      </c>
      <c r="L1068" s="73"/>
      <c r="M1068" s="11" t="s">
        <v>31</v>
      </c>
    </row>
    <row r="1069" spans="2:13" ht="15" customHeight="1" x14ac:dyDescent="0.25">
      <c r="B1069" s="11" t="s">
        <v>3028</v>
      </c>
      <c r="C1069" s="105">
        <v>45595</v>
      </c>
      <c r="D1069" s="12" t="s">
        <v>27</v>
      </c>
      <c r="E1069" s="67"/>
      <c r="F1069" s="12" t="s">
        <v>3029</v>
      </c>
      <c r="G1069" s="98"/>
      <c r="H1069" s="67"/>
      <c r="I1069" s="71"/>
      <c r="J1069" s="72">
        <v>3235</v>
      </c>
      <c r="K1069" s="88" t="s">
        <v>17</v>
      </c>
      <c r="L1069" s="73"/>
      <c r="M1069" s="11" t="s">
        <v>18</v>
      </c>
    </row>
    <row r="1070" spans="2:13" ht="15" customHeight="1" x14ac:dyDescent="0.25">
      <c r="B1070" s="11" t="s">
        <v>3030</v>
      </c>
      <c r="C1070" s="105">
        <v>45598</v>
      </c>
      <c r="D1070" s="66" t="s">
        <v>2994</v>
      </c>
      <c r="E1070" s="67"/>
      <c r="F1070" s="66" t="s">
        <v>3031</v>
      </c>
      <c r="G1070" s="98"/>
      <c r="H1070" s="67"/>
      <c r="I1070" s="71"/>
      <c r="J1070" s="140">
        <v>21850</v>
      </c>
      <c r="K1070" s="88" t="s">
        <v>1754</v>
      </c>
      <c r="L1070" s="73"/>
      <c r="M1070" s="11" t="s">
        <v>18</v>
      </c>
    </row>
    <row r="1071" spans="2:13" ht="15" customHeight="1" x14ac:dyDescent="0.25">
      <c r="B1071" s="11" t="s">
        <v>3032</v>
      </c>
      <c r="C1071" s="105">
        <v>45595</v>
      </c>
      <c r="D1071" s="12" t="s">
        <v>3033</v>
      </c>
      <c r="E1071" s="67"/>
      <c r="F1071" s="12" t="s">
        <v>3034</v>
      </c>
      <c r="G1071" s="98"/>
      <c r="H1071" s="67"/>
      <c r="I1071" s="71"/>
      <c r="J1071" s="72">
        <v>1222.5</v>
      </c>
      <c r="K1071" s="88" t="s">
        <v>17</v>
      </c>
      <c r="L1071" s="73"/>
      <c r="M1071" s="11" t="s">
        <v>18</v>
      </c>
    </row>
    <row r="1072" spans="2:13" ht="15" customHeight="1" x14ac:dyDescent="0.25">
      <c r="B1072" s="11" t="s">
        <v>3035</v>
      </c>
      <c r="C1072" s="105">
        <v>45596</v>
      </c>
      <c r="D1072" s="12" t="s">
        <v>3036</v>
      </c>
      <c r="E1072" s="67"/>
      <c r="F1072" s="12" t="s">
        <v>3037</v>
      </c>
      <c r="G1072" s="98"/>
      <c r="H1072" s="67"/>
      <c r="I1072" s="71"/>
      <c r="J1072" s="72">
        <v>91.75</v>
      </c>
      <c r="K1072" s="88" t="s">
        <v>1754</v>
      </c>
      <c r="L1072" s="73"/>
      <c r="M1072" s="11" t="s">
        <v>18</v>
      </c>
    </row>
    <row r="1073" spans="2:13" ht="15" customHeight="1" x14ac:dyDescent="0.25">
      <c r="B1073" s="11" t="s">
        <v>3038</v>
      </c>
      <c r="C1073" s="105">
        <v>45605</v>
      </c>
      <c r="D1073" s="12" t="s">
        <v>3039</v>
      </c>
      <c r="E1073" s="67"/>
      <c r="F1073" s="12" t="s">
        <v>3040</v>
      </c>
      <c r="G1073" s="98"/>
      <c r="H1073" s="67"/>
      <c r="I1073" s="71"/>
      <c r="J1073" s="72">
        <v>1925</v>
      </c>
      <c r="K1073" s="88" t="s">
        <v>17</v>
      </c>
      <c r="L1073" s="73"/>
      <c r="M1073" s="11" t="s">
        <v>31</v>
      </c>
    </row>
    <row r="1074" spans="2:13" ht="15" customHeight="1" x14ac:dyDescent="0.25">
      <c r="B1074" s="11" t="s">
        <v>3041</v>
      </c>
      <c r="C1074" s="105">
        <v>45596</v>
      </c>
      <c r="D1074" s="12" t="s">
        <v>3042</v>
      </c>
      <c r="E1074" s="67"/>
      <c r="F1074" s="12" t="s">
        <v>3043</v>
      </c>
      <c r="G1074" s="98"/>
      <c r="H1074" s="67"/>
      <c r="I1074" s="71"/>
      <c r="J1074" s="72">
        <v>1347.5</v>
      </c>
      <c r="K1074" s="88" t="s">
        <v>1754</v>
      </c>
      <c r="L1074" s="73"/>
      <c r="M1074" s="11" t="s">
        <v>31</v>
      </c>
    </row>
    <row r="1075" spans="2:13" ht="15" customHeight="1" x14ac:dyDescent="0.25">
      <c r="B1075" s="11" t="s">
        <v>3044</v>
      </c>
      <c r="C1075" s="105">
        <v>45597</v>
      </c>
      <c r="D1075" s="12" t="s">
        <v>211</v>
      </c>
      <c r="E1075" s="67"/>
      <c r="F1075" s="12" t="s">
        <v>3045</v>
      </c>
      <c r="G1075" s="98"/>
      <c r="H1075" s="67"/>
      <c r="I1075" s="71"/>
      <c r="J1075" s="72">
        <v>3200</v>
      </c>
      <c r="K1075" s="88" t="s">
        <v>17</v>
      </c>
      <c r="L1075" s="73"/>
      <c r="M1075" s="11" t="s">
        <v>31</v>
      </c>
    </row>
    <row r="1076" spans="2:13" ht="15" customHeight="1" x14ac:dyDescent="0.25">
      <c r="B1076" s="11" t="s">
        <v>3046</v>
      </c>
      <c r="C1076" s="105">
        <v>45597</v>
      </c>
      <c r="D1076" s="12" t="s">
        <v>211</v>
      </c>
      <c r="E1076" s="136"/>
      <c r="F1076" s="12" t="s">
        <v>3047</v>
      </c>
      <c r="G1076" s="137"/>
      <c r="H1076" s="67"/>
      <c r="I1076" s="138"/>
      <c r="J1076" s="72">
        <v>27000</v>
      </c>
      <c r="K1076" s="126" t="s">
        <v>17</v>
      </c>
      <c r="L1076" s="73"/>
      <c r="M1076" s="11" t="s">
        <v>18</v>
      </c>
    </row>
    <row r="1077" spans="2:13" ht="15" customHeight="1" x14ac:dyDescent="0.25">
      <c r="B1077" s="8" t="s">
        <v>3048</v>
      </c>
      <c r="C1077" s="128">
        <v>45597</v>
      </c>
      <c r="D1077" s="10" t="s">
        <v>3049</v>
      </c>
      <c r="E1077" s="67"/>
      <c r="F1077" s="10" t="s">
        <v>3050</v>
      </c>
      <c r="G1077" s="98"/>
      <c r="H1077" s="67"/>
      <c r="I1077" s="71"/>
      <c r="J1077" s="139">
        <v>3940</v>
      </c>
      <c r="K1077" s="88" t="s">
        <v>1754</v>
      </c>
      <c r="L1077" s="73"/>
      <c r="M1077" s="11" t="s">
        <v>18</v>
      </c>
    </row>
    <row r="1078" spans="2:13" ht="15" customHeight="1" x14ac:dyDescent="0.25">
      <c r="B1078" s="11" t="s">
        <v>3051</v>
      </c>
      <c r="C1078" s="105">
        <v>45598</v>
      </c>
      <c r="D1078" s="12" t="s">
        <v>1175</v>
      </c>
      <c r="E1078" s="67"/>
      <c r="F1078" s="12" t="s">
        <v>3052</v>
      </c>
      <c r="G1078" s="98"/>
      <c r="H1078" s="67"/>
      <c r="I1078" s="71"/>
      <c r="J1078" s="72">
        <v>730</v>
      </c>
      <c r="K1078" s="88" t="s">
        <v>17</v>
      </c>
      <c r="L1078" s="73"/>
      <c r="M1078" s="11" t="s">
        <v>18</v>
      </c>
    </row>
    <row r="1079" spans="2:13" ht="15" customHeight="1" x14ac:dyDescent="0.25">
      <c r="B1079" s="11" t="s">
        <v>3053</v>
      </c>
      <c r="C1079" s="105">
        <v>45598</v>
      </c>
      <c r="D1079" s="12" t="s">
        <v>3025</v>
      </c>
      <c r="E1079" s="67"/>
      <c r="F1079" s="12" t="s">
        <v>3054</v>
      </c>
      <c r="G1079" s="98"/>
      <c r="H1079" s="67"/>
      <c r="I1079" s="71"/>
      <c r="J1079" s="72">
        <v>997.5</v>
      </c>
      <c r="K1079" s="88" t="s">
        <v>1754</v>
      </c>
      <c r="L1079" s="73"/>
      <c r="M1079" s="11" t="s">
        <v>18</v>
      </c>
    </row>
    <row r="1080" spans="2:13" ht="15" customHeight="1" x14ac:dyDescent="0.25">
      <c r="B1080" s="11" t="s">
        <v>3055</v>
      </c>
      <c r="C1080" s="105">
        <v>45598</v>
      </c>
      <c r="D1080" s="12" t="s">
        <v>3056</v>
      </c>
      <c r="E1080" s="67"/>
      <c r="F1080" s="12" t="s">
        <v>3057</v>
      </c>
      <c r="G1080" s="98"/>
      <c r="H1080" s="67"/>
      <c r="I1080" s="71"/>
      <c r="J1080" s="72">
        <v>3817.5</v>
      </c>
      <c r="K1080" s="88" t="s">
        <v>17</v>
      </c>
      <c r="L1080" s="73"/>
      <c r="M1080" s="11" t="s">
        <v>31</v>
      </c>
    </row>
    <row r="1081" spans="2:13" ht="15" customHeight="1" x14ac:dyDescent="0.25">
      <c r="B1081" s="11" t="s">
        <v>3058</v>
      </c>
      <c r="C1081" s="105">
        <v>45598</v>
      </c>
      <c r="D1081" s="12" t="s">
        <v>211</v>
      </c>
      <c r="E1081" s="67"/>
      <c r="F1081" s="12" t="s">
        <v>3059</v>
      </c>
      <c r="G1081" s="98"/>
      <c r="H1081" s="67"/>
      <c r="I1081" s="71"/>
      <c r="J1081" s="72">
        <v>1942.5</v>
      </c>
      <c r="K1081" s="88" t="s">
        <v>17</v>
      </c>
      <c r="L1081" s="73"/>
      <c r="M1081" s="11" t="s">
        <v>31</v>
      </c>
    </row>
    <row r="1082" spans="2:13" ht="15" customHeight="1" x14ac:dyDescent="0.25">
      <c r="B1082" s="11" t="s">
        <v>3060</v>
      </c>
      <c r="C1082" s="105">
        <v>45598</v>
      </c>
      <c r="D1082" s="12" t="s">
        <v>211</v>
      </c>
      <c r="E1082" s="67"/>
      <c r="F1082" s="12" t="s">
        <v>3061</v>
      </c>
      <c r="G1082" s="98"/>
      <c r="H1082" s="67"/>
      <c r="I1082" s="71"/>
      <c r="J1082" s="72">
        <v>13400</v>
      </c>
      <c r="K1082" s="88" t="s">
        <v>17</v>
      </c>
      <c r="L1082" s="73"/>
      <c r="M1082" s="11" t="s">
        <v>31</v>
      </c>
    </row>
    <row r="1083" spans="2:13" ht="15" customHeight="1" x14ac:dyDescent="0.25">
      <c r="B1083" s="11" t="s">
        <v>3062</v>
      </c>
      <c r="C1083" s="105">
        <v>45598</v>
      </c>
      <c r="D1083" s="12" t="s">
        <v>211</v>
      </c>
      <c r="E1083" s="67"/>
      <c r="F1083" s="12" t="s">
        <v>1374</v>
      </c>
      <c r="G1083" s="98"/>
      <c r="H1083" s="67"/>
      <c r="I1083" s="71"/>
      <c r="J1083" s="72">
        <v>12350</v>
      </c>
      <c r="K1083" s="88" t="s">
        <v>17</v>
      </c>
      <c r="L1083" s="73"/>
      <c r="M1083" s="11" t="s">
        <v>31</v>
      </c>
    </row>
    <row r="1084" spans="2:13" ht="15" customHeight="1" x14ac:dyDescent="0.25">
      <c r="B1084" s="11" t="s">
        <v>3063</v>
      </c>
      <c r="C1084" s="105">
        <v>45600</v>
      </c>
      <c r="D1084" s="102" t="s">
        <v>241</v>
      </c>
      <c r="E1084" s="67"/>
      <c r="F1084" t="s">
        <v>3064</v>
      </c>
      <c r="G1084" s="98"/>
      <c r="H1084" s="67"/>
      <c r="I1084" s="71"/>
      <c r="J1084" s="72">
        <v>405</v>
      </c>
      <c r="K1084" s="88" t="s">
        <v>17</v>
      </c>
      <c r="L1084" s="73"/>
      <c r="M1084" s="11" t="s">
        <v>31</v>
      </c>
    </row>
    <row r="1085" spans="2:13" ht="15" customHeight="1" x14ac:dyDescent="0.25">
      <c r="B1085" s="11" t="s">
        <v>3065</v>
      </c>
      <c r="C1085" s="120">
        <v>45600</v>
      </c>
      <c r="D1085" s="12" t="s">
        <v>426</v>
      </c>
      <c r="E1085" s="136"/>
      <c r="F1085" s="12" t="s">
        <v>3066</v>
      </c>
      <c r="G1085" s="137"/>
      <c r="H1085" s="67"/>
      <c r="I1085" s="71"/>
      <c r="J1085" s="72">
        <v>3060</v>
      </c>
      <c r="K1085" s="88" t="s">
        <v>17</v>
      </c>
      <c r="L1085" s="73"/>
      <c r="M1085" s="11" t="s">
        <v>31</v>
      </c>
    </row>
    <row r="1086" spans="2:13" ht="15" customHeight="1" x14ac:dyDescent="0.25">
      <c r="B1086" s="11" t="s">
        <v>3067</v>
      </c>
      <c r="C1086" s="120">
        <v>45601</v>
      </c>
      <c r="D1086" s="12" t="s">
        <v>3068</v>
      </c>
      <c r="E1086" s="136"/>
      <c r="F1086" s="12" t="s">
        <v>3069</v>
      </c>
      <c r="G1086" s="137"/>
      <c r="H1086" s="67"/>
      <c r="I1086" s="71"/>
      <c r="J1086" s="72">
        <v>7370</v>
      </c>
      <c r="K1086" s="88" t="s">
        <v>1754</v>
      </c>
      <c r="L1086" s="73"/>
      <c r="M1086" s="11" t="s">
        <v>18</v>
      </c>
    </row>
    <row r="1087" spans="2:13" ht="15" customHeight="1" x14ac:dyDescent="0.25">
      <c r="B1087" s="11" t="s">
        <v>3070</v>
      </c>
      <c r="C1087" s="120">
        <v>45600</v>
      </c>
      <c r="D1087" s="12" t="s">
        <v>3071</v>
      </c>
      <c r="E1087" s="136"/>
      <c r="F1087" s="12" t="s">
        <v>3072</v>
      </c>
      <c r="G1087" s="137"/>
      <c r="H1087" s="67"/>
      <c r="I1087" s="71"/>
      <c r="J1087" s="72">
        <v>568.75</v>
      </c>
      <c r="K1087" s="88" t="s">
        <v>17</v>
      </c>
      <c r="L1087" s="73"/>
      <c r="M1087" s="11" t="s">
        <v>18</v>
      </c>
    </row>
    <row r="1088" spans="2:13" ht="15" customHeight="1" x14ac:dyDescent="0.25">
      <c r="B1088" s="11" t="s">
        <v>3073</v>
      </c>
      <c r="C1088" s="120">
        <v>45600</v>
      </c>
      <c r="D1088" s="12" t="s">
        <v>2254</v>
      </c>
      <c r="E1088" s="136"/>
      <c r="F1088" s="12" t="s">
        <v>3074</v>
      </c>
      <c r="G1088" s="137"/>
      <c r="H1088" s="67"/>
      <c r="I1088" s="71"/>
      <c r="J1088" s="72">
        <v>527.25</v>
      </c>
      <c r="K1088" s="88" t="s">
        <v>17</v>
      </c>
      <c r="L1088" s="73"/>
      <c r="M1088" s="11" t="s">
        <v>31</v>
      </c>
    </row>
    <row r="1089" spans="2:13" ht="15" customHeight="1" x14ac:dyDescent="0.25">
      <c r="B1089" s="11" t="s">
        <v>3075</v>
      </c>
      <c r="C1089" s="120">
        <v>45600</v>
      </c>
      <c r="D1089" s="12" t="s">
        <v>3076</v>
      </c>
      <c r="E1089" s="136"/>
      <c r="F1089" s="12" t="s">
        <v>3077</v>
      </c>
      <c r="G1089" s="137"/>
      <c r="H1089" s="67"/>
      <c r="I1089" s="71"/>
      <c r="J1089" s="72">
        <v>3225</v>
      </c>
      <c r="K1089" s="88" t="s">
        <v>1874</v>
      </c>
      <c r="L1089" s="73"/>
      <c r="M1089" s="11" t="s">
        <v>18</v>
      </c>
    </row>
    <row r="1090" spans="2:13" ht="15" customHeight="1" x14ac:dyDescent="0.25">
      <c r="B1090" s="11" t="s">
        <v>3078</v>
      </c>
      <c r="C1090" s="120">
        <v>45600</v>
      </c>
      <c r="D1090" s="12" t="s">
        <v>574</v>
      </c>
      <c r="E1090" s="136"/>
      <c r="F1090" s="12" t="s">
        <v>3079</v>
      </c>
      <c r="G1090" s="137"/>
      <c r="H1090" s="67"/>
      <c r="I1090" s="71"/>
      <c r="J1090" s="72">
        <v>1776</v>
      </c>
      <c r="K1090" s="88" t="s">
        <v>17</v>
      </c>
      <c r="L1090" s="73"/>
      <c r="M1090" s="11" t="s">
        <v>31</v>
      </c>
    </row>
    <row r="1091" spans="2:13" ht="15" customHeight="1" x14ac:dyDescent="0.25">
      <c r="B1091" s="11" t="s">
        <v>3080</v>
      </c>
      <c r="C1091" s="105">
        <v>45601</v>
      </c>
      <c r="D1091" s="10" t="s">
        <v>241</v>
      </c>
      <c r="E1091" s="67"/>
      <c r="F1091" s="10" t="s">
        <v>3081</v>
      </c>
      <c r="G1091" s="98"/>
      <c r="H1091" s="67"/>
      <c r="I1091" s="71"/>
      <c r="J1091" s="72">
        <v>900</v>
      </c>
      <c r="K1091" s="88" t="s">
        <v>17</v>
      </c>
      <c r="L1091" s="73"/>
      <c r="M1091" s="11" t="s">
        <v>31</v>
      </c>
    </row>
    <row r="1092" spans="2:13" ht="15" customHeight="1" x14ac:dyDescent="0.25">
      <c r="B1092" s="11" t="s">
        <v>3082</v>
      </c>
      <c r="C1092" s="105">
        <v>45608</v>
      </c>
      <c r="D1092" s="10" t="s">
        <v>27</v>
      </c>
      <c r="E1092" s="67"/>
      <c r="F1092" s="10" t="s">
        <v>3083</v>
      </c>
      <c r="G1092" s="98"/>
      <c r="H1092" s="67"/>
      <c r="I1092" s="71"/>
      <c r="J1092" s="72">
        <v>15996.25</v>
      </c>
      <c r="K1092" s="88" t="s">
        <v>17</v>
      </c>
      <c r="L1092" s="73"/>
      <c r="M1092" s="11" t="s">
        <v>31</v>
      </c>
    </row>
    <row r="1093" spans="2:13" ht="15" customHeight="1" x14ac:dyDescent="0.25">
      <c r="B1093" s="11" t="s">
        <v>3084</v>
      </c>
      <c r="C1093" s="105">
        <v>45601</v>
      </c>
      <c r="D1093" s="10" t="s">
        <v>3085</v>
      </c>
      <c r="E1093" s="67"/>
      <c r="F1093" s="10" t="s">
        <v>3086</v>
      </c>
      <c r="G1093" s="98"/>
      <c r="H1093" s="67"/>
      <c r="I1093" s="71"/>
      <c r="J1093" s="72">
        <v>1852.5</v>
      </c>
      <c r="K1093" s="88" t="s">
        <v>17</v>
      </c>
      <c r="L1093" s="73"/>
      <c r="M1093" s="11" t="s">
        <v>18</v>
      </c>
    </row>
    <row r="1094" spans="2:13" ht="15" customHeight="1" x14ac:dyDescent="0.25">
      <c r="B1094" s="11" t="s">
        <v>3087</v>
      </c>
      <c r="C1094" s="105">
        <v>45602</v>
      </c>
      <c r="D1094" s="12" t="s">
        <v>241</v>
      </c>
      <c r="E1094" s="136"/>
      <c r="F1094" s="12" t="s">
        <v>3088</v>
      </c>
      <c r="G1094" s="137"/>
      <c r="H1094" s="67"/>
      <c r="I1094" s="138"/>
      <c r="J1094" s="72">
        <v>175</v>
      </c>
      <c r="K1094" s="126" t="s">
        <v>17</v>
      </c>
      <c r="L1094" s="73"/>
      <c r="M1094" s="11" t="s">
        <v>18</v>
      </c>
    </row>
    <row r="1095" spans="2:13" ht="15" customHeight="1" x14ac:dyDescent="0.25">
      <c r="B1095" s="8" t="s">
        <v>3089</v>
      </c>
      <c r="C1095" s="128">
        <v>45607</v>
      </c>
      <c r="D1095" s="10" t="s">
        <v>1175</v>
      </c>
      <c r="E1095" s="67"/>
      <c r="F1095" s="10" t="s">
        <v>3090</v>
      </c>
      <c r="G1095" s="98"/>
      <c r="H1095" s="67"/>
      <c r="I1095" s="71"/>
      <c r="J1095" s="139">
        <v>22720</v>
      </c>
      <c r="K1095" s="88" t="s">
        <v>17</v>
      </c>
      <c r="L1095" s="73"/>
      <c r="M1095" s="11" t="s">
        <v>31</v>
      </c>
    </row>
    <row r="1096" spans="2:13" ht="15" customHeight="1" x14ac:dyDescent="0.25">
      <c r="B1096" s="11" t="s">
        <v>3091</v>
      </c>
      <c r="C1096" s="105">
        <v>45603</v>
      </c>
      <c r="D1096" s="10" t="s">
        <v>3092</v>
      </c>
      <c r="E1096" s="67"/>
      <c r="F1096" s="10" t="s">
        <v>3093</v>
      </c>
      <c r="G1096" s="98"/>
      <c r="H1096" s="67"/>
      <c r="I1096" s="71"/>
      <c r="J1096" s="72">
        <v>4400</v>
      </c>
      <c r="K1096" s="88" t="s">
        <v>1754</v>
      </c>
      <c r="L1096" s="73"/>
      <c r="M1096" s="11" t="s">
        <v>31</v>
      </c>
    </row>
    <row r="1097" spans="2:13" ht="15" customHeight="1" x14ac:dyDescent="0.25">
      <c r="B1097" s="11" t="s">
        <v>3094</v>
      </c>
      <c r="C1097" s="105">
        <v>45607</v>
      </c>
      <c r="D1097" s="10" t="s">
        <v>273</v>
      </c>
      <c r="E1097" s="67"/>
      <c r="F1097" s="10" t="s">
        <v>3095</v>
      </c>
      <c r="G1097" s="98"/>
      <c r="H1097" s="67"/>
      <c r="I1097" s="71"/>
      <c r="J1097" s="72">
        <v>675</v>
      </c>
      <c r="K1097" s="88" t="s">
        <v>1754</v>
      </c>
      <c r="L1097" s="73"/>
      <c r="M1097" s="11" t="s">
        <v>31</v>
      </c>
    </row>
    <row r="1098" spans="2:13" ht="15" customHeight="1" x14ac:dyDescent="0.25">
      <c r="B1098" s="11" t="s">
        <v>3096</v>
      </c>
      <c r="C1098" s="105">
        <v>45617</v>
      </c>
      <c r="D1098" s="10" t="s">
        <v>3097</v>
      </c>
      <c r="E1098" s="67"/>
      <c r="F1098" s="10" t="s">
        <v>3098</v>
      </c>
      <c r="G1098" s="98"/>
      <c r="H1098" s="67"/>
      <c r="I1098" s="71"/>
      <c r="J1098" s="72">
        <v>22830.75</v>
      </c>
      <c r="K1098" s="88" t="s">
        <v>1754</v>
      </c>
      <c r="L1098" s="73"/>
      <c r="M1098" s="11" t="s">
        <v>18</v>
      </c>
    </row>
    <row r="1099" spans="2:13" ht="15" customHeight="1" x14ac:dyDescent="0.25">
      <c r="B1099" s="11" t="s">
        <v>3099</v>
      </c>
      <c r="C1099" s="105">
        <v>45604</v>
      </c>
      <c r="D1099" s="12" t="s">
        <v>346</v>
      </c>
      <c r="E1099" s="67"/>
      <c r="F1099" s="12" t="s">
        <v>3100</v>
      </c>
      <c r="G1099" s="98"/>
      <c r="H1099" s="67"/>
      <c r="I1099" s="71"/>
      <c r="J1099" s="72">
        <v>580</v>
      </c>
      <c r="K1099" s="88" t="s">
        <v>17</v>
      </c>
      <c r="L1099" s="73"/>
      <c r="M1099" s="11" t="s">
        <v>18</v>
      </c>
    </row>
    <row r="1100" spans="2:13" ht="15" customHeight="1" x14ac:dyDescent="0.25">
      <c r="B1100" s="11" t="s">
        <v>3101</v>
      </c>
      <c r="C1100" s="105">
        <v>45604</v>
      </c>
      <c r="D1100" s="12" t="s">
        <v>3102</v>
      </c>
      <c r="E1100" s="67"/>
      <c r="F1100" s="12" t="s">
        <v>3103</v>
      </c>
      <c r="G1100" s="98"/>
      <c r="H1100" s="67"/>
      <c r="I1100" s="71"/>
      <c r="J1100" s="72">
        <v>2250</v>
      </c>
      <c r="K1100" s="88" t="s">
        <v>1754</v>
      </c>
      <c r="L1100" s="73"/>
      <c r="M1100" s="11" t="s">
        <v>18</v>
      </c>
    </row>
    <row r="1101" spans="2:13" ht="15" customHeight="1" x14ac:dyDescent="0.25">
      <c r="B1101" s="11" t="s">
        <v>3104</v>
      </c>
      <c r="C1101" s="105">
        <v>45604</v>
      </c>
      <c r="D1101" s="12" t="s">
        <v>716</v>
      </c>
      <c r="E1101" s="67"/>
      <c r="F1101" s="12" t="s">
        <v>2107</v>
      </c>
      <c r="G1101" s="98"/>
      <c r="H1101" s="67"/>
      <c r="I1101" s="71"/>
      <c r="J1101" s="72">
        <v>5720</v>
      </c>
      <c r="K1101" s="88" t="s">
        <v>17</v>
      </c>
      <c r="L1101" s="73"/>
      <c r="M1101" s="11" t="s">
        <v>18</v>
      </c>
    </row>
    <row r="1102" spans="2:13" ht="15" customHeight="1" x14ac:dyDescent="0.25">
      <c r="B1102" s="11" t="s">
        <v>3105</v>
      </c>
      <c r="C1102" s="105">
        <v>45604</v>
      </c>
      <c r="D1102" s="12" t="s">
        <v>716</v>
      </c>
      <c r="E1102" s="67"/>
      <c r="F1102" s="12" t="s">
        <v>3106</v>
      </c>
      <c r="G1102" s="98"/>
      <c r="H1102" s="67"/>
      <c r="I1102" s="71"/>
      <c r="J1102" s="72">
        <v>490</v>
      </c>
      <c r="K1102" s="88" t="s">
        <v>1754</v>
      </c>
      <c r="L1102" s="73"/>
      <c r="M1102" s="11" t="s">
        <v>31</v>
      </c>
    </row>
    <row r="1103" spans="2:13" ht="15" customHeight="1" x14ac:dyDescent="0.25">
      <c r="B1103" s="11" t="s">
        <v>3107</v>
      </c>
      <c r="C1103" s="105">
        <v>45604</v>
      </c>
      <c r="D1103" s="12" t="s">
        <v>3108</v>
      </c>
      <c r="E1103" s="67"/>
      <c r="F1103" s="12" t="s">
        <v>3109</v>
      </c>
      <c r="G1103" s="98"/>
      <c r="H1103" s="67"/>
      <c r="I1103" s="71"/>
      <c r="J1103" s="72">
        <v>10437.5</v>
      </c>
      <c r="K1103" s="88" t="s">
        <v>17</v>
      </c>
      <c r="L1103" s="73"/>
      <c r="M1103" s="11" t="s">
        <v>18</v>
      </c>
    </row>
    <row r="1104" spans="2:13" ht="15" customHeight="1" x14ac:dyDescent="0.25">
      <c r="B1104" s="11" t="s">
        <v>3110</v>
      </c>
      <c r="C1104" s="105">
        <v>45637</v>
      </c>
      <c r="D1104" s="12" t="s">
        <v>1060</v>
      </c>
      <c r="E1104" s="67"/>
      <c r="F1104" s="12" t="s">
        <v>3111</v>
      </c>
      <c r="G1104" s="98"/>
      <c r="H1104" s="67"/>
      <c r="I1104" s="71"/>
      <c r="J1104" s="72">
        <v>425</v>
      </c>
      <c r="K1104" s="88" t="s">
        <v>17</v>
      </c>
      <c r="L1104" s="73"/>
      <c r="M1104" s="11" t="s">
        <v>31</v>
      </c>
    </row>
    <row r="1105" spans="2:13" ht="15" customHeight="1" x14ac:dyDescent="0.25">
      <c r="B1105" s="11" t="s">
        <v>3112</v>
      </c>
      <c r="C1105" s="105">
        <v>45609</v>
      </c>
      <c r="D1105" s="12" t="s">
        <v>27</v>
      </c>
      <c r="E1105" s="67"/>
      <c r="F1105" s="12" t="s">
        <v>3113</v>
      </c>
      <c r="G1105" s="98"/>
      <c r="H1105" s="67"/>
      <c r="I1105" s="71"/>
      <c r="J1105" s="72">
        <v>8744.5</v>
      </c>
      <c r="K1105" s="88" t="s">
        <v>17</v>
      </c>
      <c r="L1105" s="73"/>
      <c r="M1105" s="11" t="s">
        <v>31</v>
      </c>
    </row>
    <row r="1106" spans="2:13" ht="15" customHeight="1" x14ac:dyDescent="0.25">
      <c r="B1106" s="11" t="s">
        <v>3114</v>
      </c>
      <c r="C1106" s="105">
        <v>45607</v>
      </c>
      <c r="D1106" s="12" t="s">
        <v>654</v>
      </c>
      <c r="E1106" s="67"/>
      <c r="F1106" s="12" t="s">
        <v>120</v>
      </c>
      <c r="G1106" s="98"/>
      <c r="H1106" s="67"/>
      <c r="I1106" s="71"/>
      <c r="J1106" s="72">
        <v>1995</v>
      </c>
      <c r="K1106" s="88" t="s">
        <v>17</v>
      </c>
      <c r="L1106" s="73"/>
      <c r="M1106" s="11" t="s">
        <v>31</v>
      </c>
    </row>
    <row r="1107" spans="2:13" ht="15" customHeight="1" x14ac:dyDescent="0.25">
      <c r="B1107" s="11" t="s">
        <v>3115</v>
      </c>
      <c r="C1107" s="105">
        <v>45608</v>
      </c>
      <c r="D1107" s="12" t="s">
        <v>1060</v>
      </c>
      <c r="E1107" s="67"/>
      <c r="F1107" s="12" t="s">
        <v>3116</v>
      </c>
      <c r="G1107" s="98"/>
      <c r="H1107" s="67"/>
      <c r="I1107" s="71"/>
      <c r="J1107" s="72">
        <v>4773.75</v>
      </c>
      <c r="K1107" s="88" t="s">
        <v>17</v>
      </c>
      <c r="L1107" s="73"/>
      <c r="M1107" s="11" t="s">
        <v>31</v>
      </c>
    </row>
    <row r="1108" spans="2:13" ht="15" customHeight="1" x14ac:dyDescent="0.25">
      <c r="B1108" s="11" t="s">
        <v>3117</v>
      </c>
      <c r="C1108" s="105">
        <v>45608</v>
      </c>
      <c r="D1108" s="12" t="s">
        <v>1674</v>
      </c>
      <c r="E1108" s="67"/>
      <c r="F1108" s="12" t="s">
        <v>22</v>
      </c>
      <c r="G1108" s="98"/>
      <c r="H1108" s="67"/>
      <c r="I1108" s="71"/>
      <c r="J1108" s="72">
        <v>400</v>
      </c>
      <c r="K1108" s="88" t="s">
        <v>17</v>
      </c>
      <c r="L1108" s="73"/>
      <c r="M1108" s="11" t="s">
        <v>31</v>
      </c>
    </row>
    <row r="1109" spans="2:13" ht="15" customHeight="1" x14ac:dyDescent="0.25">
      <c r="B1109" s="11" t="s">
        <v>3118</v>
      </c>
      <c r="C1109" s="105">
        <v>45608</v>
      </c>
      <c r="D1109" s="12" t="s">
        <v>503</v>
      </c>
      <c r="E1109" s="67"/>
      <c r="F1109" s="12" t="s">
        <v>3119</v>
      </c>
      <c r="G1109" s="98"/>
      <c r="H1109" s="67"/>
      <c r="I1109" s="71"/>
      <c r="J1109" s="72">
        <v>351.75</v>
      </c>
      <c r="K1109" s="88" t="s">
        <v>17</v>
      </c>
      <c r="L1109" s="73"/>
      <c r="M1109" s="11" t="s">
        <v>18</v>
      </c>
    </row>
    <row r="1110" spans="2:13" ht="15" customHeight="1" x14ac:dyDescent="0.25">
      <c r="B1110" s="11" t="s">
        <v>3120</v>
      </c>
      <c r="C1110" s="105">
        <v>45608</v>
      </c>
      <c r="D1110" s="12" t="s">
        <v>27</v>
      </c>
      <c r="E1110" s="67"/>
      <c r="F1110" s="12" t="s">
        <v>1323</v>
      </c>
      <c r="G1110" s="98"/>
      <c r="H1110" s="67"/>
      <c r="I1110" s="71"/>
      <c r="J1110" s="72">
        <v>940</v>
      </c>
      <c r="K1110" s="88" t="s">
        <v>17</v>
      </c>
      <c r="L1110" s="73"/>
      <c r="M1110" s="11" t="s">
        <v>31</v>
      </c>
    </row>
    <row r="1111" spans="2:13" ht="15" customHeight="1" x14ac:dyDescent="0.25">
      <c r="B1111" s="11" t="s">
        <v>3121</v>
      </c>
      <c r="C1111" s="105">
        <v>45608</v>
      </c>
      <c r="D1111" s="12" t="s">
        <v>27</v>
      </c>
      <c r="E1111" s="67"/>
      <c r="F1111" s="12" t="s">
        <v>3122</v>
      </c>
      <c r="G1111" s="98"/>
      <c r="H1111" s="67"/>
      <c r="I1111" s="71"/>
      <c r="J1111" s="72">
        <v>937.5</v>
      </c>
      <c r="K1111" s="88" t="s">
        <v>17</v>
      </c>
      <c r="L1111" s="73"/>
      <c r="M1111" s="11" t="s">
        <v>31</v>
      </c>
    </row>
    <row r="1112" spans="2:13" x14ac:dyDescent="0.25">
      <c r="B1112" s="11" t="s">
        <v>3123</v>
      </c>
      <c r="C1112" s="105">
        <v>45616</v>
      </c>
      <c r="D1112" s="12" t="s">
        <v>1060</v>
      </c>
      <c r="E1112" s="67"/>
      <c r="F1112" s="12" t="s">
        <v>3124</v>
      </c>
      <c r="G1112" s="98"/>
      <c r="H1112" s="67"/>
      <c r="I1112" s="71"/>
      <c r="J1112" s="72">
        <v>4799.3</v>
      </c>
      <c r="K1112" s="88" t="s">
        <v>17</v>
      </c>
      <c r="L1112" s="73"/>
      <c r="M1112" s="11" t="s">
        <v>31</v>
      </c>
    </row>
    <row r="1113" spans="2:13" x14ac:dyDescent="0.25">
      <c r="B1113" s="11" t="s">
        <v>3125</v>
      </c>
      <c r="C1113" s="105">
        <v>45608</v>
      </c>
      <c r="D1113" s="12" t="s">
        <v>1060</v>
      </c>
      <c r="E1113" s="67"/>
      <c r="F1113" s="12" t="s">
        <v>3126</v>
      </c>
      <c r="G1113" s="98"/>
      <c r="H1113" s="67"/>
      <c r="I1113" s="71"/>
      <c r="J1113" s="72">
        <v>691.9</v>
      </c>
      <c r="K1113" s="88" t="s">
        <v>17</v>
      </c>
      <c r="L1113" s="73"/>
      <c r="M1113" s="11" t="s">
        <v>31</v>
      </c>
    </row>
    <row r="1114" spans="2:13" ht="15" customHeight="1" x14ac:dyDescent="0.25">
      <c r="B1114" s="11" t="s">
        <v>3127</v>
      </c>
      <c r="C1114" s="105">
        <v>45609</v>
      </c>
      <c r="D1114" s="12" t="s">
        <v>3003</v>
      </c>
      <c r="E1114" s="67"/>
      <c r="F1114" s="12" t="s">
        <v>3128</v>
      </c>
      <c r="G1114" s="98"/>
      <c r="H1114" s="67"/>
      <c r="I1114" s="71"/>
      <c r="J1114" s="72">
        <v>6377.5</v>
      </c>
      <c r="K1114" s="88" t="s">
        <v>1754</v>
      </c>
      <c r="L1114" s="73"/>
      <c r="M1114" s="11" t="s">
        <v>18</v>
      </c>
    </row>
    <row r="1115" spans="2:13" ht="15" customHeight="1" x14ac:dyDescent="0.25">
      <c r="B1115" s="11" t="s">
        <v>3129</v>
      </c>
      <c r="C1115" s="105">
        <v>45609</v>
      </c>
      <c r="D1115" s="12" t="s">
        <v>65</v>
      </c>
      <c r="E1115" s="67"/>
      <c r="F1115" s="12" t="s">
        <v>3130</v>
      </c>
      <c r="G1115" s="98"/>
      <c r="H1115" s="67"/>
      <c r="I1115" s="71"/>
      <c r="J1115" s="72">
        <v>4970</v>
      </c>
      <c r="K1115" s="88" t="s">
        <v>17</v>
      </c>
      <c r="L1115" s="73"/>
      <c r="M1115" s="11" t="s">
        <v>31</v>
      </c>
    </row>
    <row r="1116" spans="2:13" ht="15" customHeight="1" x14ac:dyDescent="0.25">
      <c r="B1116" s="11" t="s">
        <v>3131</v>
      </c>
      <c r="C1116" s="105">
        <v>45609</v>
      </c>
      <c r="D1116" s="12" t="s">
        <v>3132</v>
      </c>
      <c r="E1116" s="67"/>
      <c r="F1116" s="12" t="s">
        <v>3133</v>
      </c>
      <c r="G1116" s="98"/>
      <c r="H1116" s="67"/>
      <c r="I1116" s="71"/>
      <c r="J1116" s="72">
        <v>8000</v>
      </c>
      <c r="K1116" s="88" t="s">
        <v>17</v>
      </c>
      <c r="L1116" s="73"/>
      <c r="M1116" s="11" t="s">
        <v>18</v>
      </c>
    </row>
    <row r="1117" spans="2:13" ht="15" customHeight="1" x14ac:dyDescent="0.25">
      <c r="B1117" s="11" t="s">
        <v>3134</v>
      </c>
      <c r="C1117" s="105">
        <v>45609</v>
      </c>
      <c r="D1117" s="12" t="s">
        <v>3135</v>
      </c>
      <c r="E1117" s="67"/>
      <c r="F1117" s="12" t="s">
        <v>3136</v>
      </c>
      <c r="G1117" s="98"/>
      <c r="H1117" s="67"/>
      <c r="I1117" s="71"/>
      <c r="J1117" s="72">
        <v>3750</v>
      </c>
      <c r="K1117" s="88" t="s">
        <v>1754</v>
      </c>
      <c r="L1117" s="73"/>
      <c r="M1117" s="11" t="s">
        <v>18</v>
      </c>
    </row>
    <row r="1118" spans="2:13" ht="15" customHeight="1" x14ac:dyDescent="0.25">
      <c r="B1118" s="11" t="s">
        <v>3137</v>
      </c>
      <c r="C1118" s="105">
        <v>45609</v>
      </c>
      <c r="D1118" s="12" t="s">
        <v>3138</v>
      </c>
      <c r="E1118" s="67"/>
      <c r="F1118" s="12" t="s">
        <v>3139</v>
      </c>
      <c r="G1118" s="98"/>
      <c r="H1118" s="67"/>
      <c r="I1118" s="71"/>
      <c r="J1118" s="72">
        <v>3850</v>
      </c>
      <c r="K1118" s="88" t="s">
        <v>1754</v>
      </c>
      <c r="L1118" s="73"/>
      <c r="M1118" s="11" t="s">
        <v>18</v>
      </c>
    </row>
    <row r="1119" spans="2:13" ht="15" customHeight="1" x14ac:dyDescent="0.25">
      <c r="B1119" s="11" t="s">
        <v>3140</v>
      </c>
      <c r="C1119" s="105">
        <v>45609</v>
      </c>
      <c r="D1119" s="12" t="s">
        <v>2731</v>
      </c>
      <c r="E1119" s="67"/>
      <c r="F1119" s="12" t="s">
        <v>3141</v>
      </c>
      <c r="G1119" s="98"/>
      <c r="H1119" s="67"/>
      <c r="I1119" s="71"/>
      <c r="J1119" s="72">
        <v>365</v>
      </c>
      <c r="K1119" s="88" t="s">
        <v>17</v>
      </c>
      <c r="L1119" s="73"/>
      <c r="M1119" s="11" t="s">
        <v>18</v>
      </c>
    </row>
    <row r="1120" spans="2:13" ht="15" customHeight="1" x14ac:dyDescent="0.25">
      <c r="B1120" s="11" t="s">
        <v>3142</v>
      </c>
      <c r="C1120" s="105">
        <v>45609</v>
      </c>
      <c r="D1120" s="12" t="s">
        <v>3143</v>
      </c>
      <c r="E1120" s="67"/>
      <c r="F1120" s="12" t="s">
        <v>3144</v>
      </c>
      <c r="G1120" s="98"/>
      <c r="H1120" s="67"/>
      <c r="I1120" s="71"/>
      <c r="J1120" s="72">
        <v>218.25</v>
      </c>
      <c r="K1120" s="88" t="s">
        <v>17</v>
      </c>
      <c r="L1120" s="73"/>
      <c r="M1120" s="11" t="s">
        <v>18</v>
      </c>
    </row>
    <row r="1121" spans="2:13" ht="15" customHeight="1" x14ac:dyDescent="0.25">
      <c r="B1121" s="11" t="s">
        <v>3145</v>
      </c>
      <c r="C1121" s="105">
        <v>45609</v>
      </c>
      <c r="D1121" s="12" t="s">
        <v>1156</v>
      </c>
      <c r="E1121" s="67"/>
      <c r="F1121" s="12" t="s">
        <v>3146</v>
      </c>
      <c r="G1121" s="98"/>
      <c r="H1121" s="67"/>
      <c r="I1121" s="71"/>
      <c r="J1121" s="72">
        <v>11200.5</v>
      </c>
      <c r="K1121" s="88" t="s">
        <v>17</v>
      </c>
      <c r="L1121" s="73"/>
      <c r="M1121" s="11" t="s">
        <v>18</v>
      </c>
    </row>
    <row r="1122" spans="2:13" ht="15" customHeight="1" x14ac:dyDescent="0.25">
      <c r="B1122" s="11" t="s">
        <v>3147</v>
      </c>
      <c r="C1122" s="105">
        <v>45610</v>
      </c>
      <c r="D1122" s="12" t="s">
        <v>3148</v>
      </c>
      <c r="E1122" s="67"/>
      <c r="F1122" s="12" t="s">
        <v>3149</v>
      </c>
      <c r="G1122" s="98"/>
      <c r="H1122" s="67"/>
      <c r="I1122" s="71"/>
      <c r="J1122" s="72">
        <v>1375</v>
      </c>
      <c r="K1122" s="88" t="s">
        <v>1874</v>
      </c>
      <c r="L1122" s="73"/>
      <c r="M1122" s="11" t="s">
        <v>18</v>
      </c>
    </row>
    <row r="1123" spans="2:13" ht="15" customHeight="1" x14ac:dyDescent="0.25">
      <c r="B1123" s="11" t="s">
        <v>3150</v>
      </c>
      <c r="C1123" s="105">
        <v>45610</v>
      </c>
      <c r="D1123" s="12" t="s">
        <v>1043</v>
      </c>
      <c r="E1123" s="67"/>
      <c r="F1123" s="12" t="s">
        <v>3151</v>
      </c>
      <c r="G1123" s="98"/>
      <c r="H1123" s="67"/>
      <c r="I1123" s="71"/>
      <c r="J1123" s="72">
        <v>1375</v>
      </c>
      <c r="K1123" s="88" t="s">
        <v>1754</v>
      </c>
      <c r="L1123" s="73"/>
      <c r="M1123" s="11" t="s">
        <v>18</v>
      </c>
    </row>
    <row r="1124" spans="2:13" ht="15" customHeight="1" x14ac:dyDescent="0.25">
      <c r="B1124" s="11" t="s">
        <v>3152</v>
      </c>
      <c r="C1124" s="105">
        <v>45610</v>
      </c>
      <c r="D1124" t="s">
        <v>763</v>
      </c>
      <c r="E1124" s="67"/>
      <c r="F1124" s="12" t="s">
        <v>3153</v>
      </c>
      <c r="G1124" s="98"/>
      <c r="H1124" s="67"/>
      <c r="I1124" s="71"/>
      <c r="J1124" s="72">
        <v>1737.5</v>
      </c>
      <c r="K1124" s="88" t="s">
        <v>1754</v>
      </c>
      <c r="L1124" s="73"/>
      <c r="M1124" s="11" t="s">
        <v>18</v>
      </c>
    </row>
    <row r="1125" spans="2:13" ht="15" customHeight="1" x14ac:dyDescent="0.25">
      <c r="B1125" s="11" t="s">
        <v>3154</v>
      </c>
      <c r="C1125" s="105">
        <v>45622</v>
      </c>
      <c r="D1125" s="12" t="s">
        <v>27</v>
      </c>
      <c r="E1125" s="67"/>
      <c r="F1125" s="12" t="s">
        <v>3155</v>
      </c>
      <c r="G1125" s="98"/>
      <c r="H1125" s="67"/>
      <c r="I1125" s="71"/>
      <c r="J1125" s="72">
        <v>6904.8</v>
      </c>
      <c r="K1125" s="88" t="s">
        <v>17</v>
      </c>
      <c r="L1125" s="73"/>
      <c r="M1125" s="11" t="s">
        <v>31</v>
      </c>
    </row>
    <row r="1126" spans="2:13" ht="15" customHeight="1" x14ac:dyDescent="0.25">
      <c r="B1126" s="11" t="s">
        <v>3156</v>
      </c>
      <c r="C1126" s="105">
        <v>45611</v>
      </c>
      <c r="D1126" s="12" t="s">
        <v>3157</v>
      </c>
      <c r="E1126" s="67"/>
      <c r="F1126" s="12" t="s">
        <v>3158</v>
      </c>
      <c r="G1126" s="98"/>
      <c r="H1126" s="67"/>
      <c r="I1126" s="71"/>
      <c r="J1126" s="72">
        <v>300</v>
      </c>
      <c r="K1126" s="88" t="s">
        <v>17</v>
      </c>
      <c r="L1126" s="73"/>
      <c r="M1126" s="11" t="s">
        <v>18</v>
      </c>
    </row>
    <row r="1127" spans="2:13" ht="15" customHeight="1" x14ac:dyDescent="0.25">
      <c r="B1127" s="11" t="s">
        <v>3159</v>
      </c>
      <c r="C1127" s="105">
        <v>45611</v>
      </c>
      <c r="D1127" s="12" t="s">
        <v>1986</v>
      </c>
      <c r="E1127" s="67"/>
      <c r="F1127" s="12" t="s">
        <v>3160</v>
      </c>
      <c r="G1127" s="98"/>
      <c r="H1127" s="67"/>
      <c r="I1127" s="71"/>
      <c r="J1127" s="72">
        <v>550</v>
      </c>
      <c r="K1127" s="88" t="s">
        <v>17</v>
      </c>
      <c r="L1127" s="73"/>
      <c r="M1127" s="11" t="s">
        <v>31</v>
      </c>
    </row>
    <row r="1128" spans="2:13" ht="15" customHeight="1" x14ac:dyDescent="0.25">
      <c r="B1128" s="11" t="s">
        <v>3161</v>
      </c>
      <c r="C1128" s="105">
        <v>45612</v>
      </c>
      <c r="D1128" s="12" t="s">
        <v>3162</v>
      </c>
      <c r="E1128" s="67"/>
      <c r="F1128" s="12" t="s">
        <v>3163</v>
      </c>
      <c r="G1128" s="98"/>
      <c r="H1128" s="67"/>
      <c r="I1128" s="71"/>
      <c r="J1128" s="72">
        <v>1470</v>
      </c>
      <c r="K1128" s="88" t="s">
        <v>1754</v>
      </c>
      <c r="L1128" s="73"/>
      <c r="M1128" s="11" t="s">
        <v>18</v>
      </c>
    </row>
    <row r="1129" spans="2:13" x14ac:dyDescent="0.25">
      <c r="B1129" s="11" t="s">
        <v>3164</v>
      </c>
      <c r="C1129" s="105">
        <v>45612</v>
      </c>
      <c r="D1129" s="12" t="s">
        <v>3165</v>
      </c>
      <c r="E1129" s="67"/>
      <c r="F1129" s="12" t="s">
        <v>3166</v>
      </c>
      <c r="G1129" s="98"/>
      <c r="H1129" s="67"/>
      <c r="I1129" s="71"/>
      <c r="J1129" s="72">
        <v>435</v>
      </c>
      <c r="K1129" s="88" t="s">
        <v>17</v>
      </c>
      <c r="L1129" s="73"/>
      <c r="M1129" s="11" t="s">
        <v>31</v>
      </c>
    </row>
    <row r="1130" spans="2:13" ht="15" customHeight="1" x14ac:dyDescent="0.25">
      <c r="B1130" s="11" t="s">
        <v>3167</v>
      </c>
      <c r="C1130" s="105">
        <v>45614</v>
      </c>
      <c r="D1130" s="12" t="s">
        <v>27</v>
      </c>
      <c r="E1130" s="67"/>
      <c r="F1130" s="12" t="s">
        <v>3168</v>
      </c>
      <c r="G1130" s="98"/>
      <c r="H1130" s="67"/>
      <c r="I1130" s="71"/>
      <c r="J1130" s="72">
        <v>210</v>
      </c>
      <c r="K1130" s="88" t="s">
        <v>17</v>
      </c>
      <c r="L1130" s="73"/>
      <c r="M1130" s="11" t="s">
        <v>31</v>
      </c>
    </row>
    <row r="1131" spans="2:13" ht="15" customHeight="1" x14ac:dyDescent="0.25">
      <c r="B1131" s="11" t="s">
        <v>3169</v>
      </c>
      <c r="C1131" s="105">
        <v>45614</v>
      </c>
      <c r="D1131" s="12" t="s">
        <v>1060</v>
      </c>
      <c r="E1131" s="67"/>
      <c r="F1131" s="12" t="s">
        <v>3170</v>
      </c>
      <c r="G1131" s="98"/>
      <c r="H1131" s="67"/>
      <c r="I1131" s="71"/>
      <c r="J1131" s="72">
        <v>2355</v>
      </c>
      <c r="K1131" s="88" t="s">
        <v>17</v>
      </c>
      <c r="L1131" s="73"/>
      <c r="M1131" s="11" t="s">
        <v>18</v>
      </c>
    </row>
    <row r="1132" spans="2:13" ht="15" customHeight="1" x14ac:dyDescent="0.25">
      <c r="B1132" s="11" t="s">
        <v>3171</v>
      </c>
      <c r="C1132" s="105">
        <v>45614</v>
      </c>
      <c r="D1132" s="12" t="s">
        <v>2966</v>
      </c>
      <c r="E1132" s="67"/>
      <c r="F1132" s="12" t="s">
        <v>596</v>
      </c>
      <c r="G1132" s="98"/>
      <c r="H1132" s="67"/>
      <c r="I1132" s="71"/>
      <c r="J1132" s="72">
        <v>4485</v>
      </c>
      <c r="K1132" s="88" t="s">
        <v>1754</v>
      </c>
      <c r="L1132" s="73"/>
      <c r="M1132" s="11" t="s">
        <v>18</v>
      </c>
    </row>
    <row r="1133" spans="2:13" ht="15" customHeight="1" x14ac:dyDescent="0.25">
      <c r="B1133" s="11" t="s">
        <v>3172</v>
      </c>
      <c r="C1133" s="105">
        <v>45614</v>
      </c>
      <c r="D1133" s="12" t="s">
        <v>3157</v>
      </c>
      <c r="E1133" s="67"/>
      <c r="F1133" s="12" t="s">
        <v>3173</v>
      </c>
      <c r="G1133" s="98"/>
      <c r="H1133" s="67"/>
      <c r="I1133" s="71"/>
      <c r="J1133" s="72">
        <v>13590</v>
      </c>
      <c r="K1133" s="88" t="s">
        <v>17</v>
      </c>
      <c r="L1133" s="73"/>
      <c r="M1133" s="11" t="s">
        <v>31</v>
      </c>
    </row>
    <row r="1134" spans="2:13" ht="15" customHeight="1" x14ac:dyDescent="0.25">
      <c r="B1134" s="11" t="s">
        <v>3174</v>
      </c>
      <c r="C1134" s="105">
        <v>45615</v>
      </c>
      <c r="D1134" s="12" t="s">
        <v>1640</v>
      </c>
      <c r="E1134" s="67"/>
      <c r="F1134" s="12" t="s">
        <v>922</v>
      </c>
      <c r="G1134" s="98"/>
      <c r="H1134" s="67"/>
      <c r="I1134" s="71"/>
      <c r="J1134" s="72">
        <v>217.5</v>
      </c>
      <c r="K1134" s="88" t="s">
        <v>17</v>
      </c>
      <c r="L1134" s="73"/>
      <c r="M1134" s="11" t="s">
        <v>18</v>
      </c>
    </row>
    <row r="1135" spans="2:13" ht="15" customHeight="1" x14ac:dyDescent="0.25">
      <c r="B1135" s="11" t="s">
        <v>3175</v>
      </c>
      <c r="C1135" s="105">
        <v>45615</v>
      </c>
      <c r="D1135" s="12" t="s">
        <v>3176</v>
      </c>
      <c r="E1135" s="67"/>
      <c r="F1135" s="12" t="s">
        <v>3177</v>
      </c>
      <c r="G1135" s="98"/>
      <c r="H1135" s="67"/>
      <c r="I1135" s="71"/>
      <c r="J1135" s="72">
        <v>2525</v>
      </c>
      <c r="K1135" s="88" t="s">
        <v>17</v>
      </c>
      <c r="L1135" s="73"/>
      <c r="M1135" s="11" t="s">
        <v>31</v>
      </c>
    </row>
    <row r="1136" spans="2:13" ht="15" customHeight="1" x14ac:dyDescent="0.25">
      <c r="B1136" s="11" t="s">
        <v>3178</v>
      </c>
      <c r="C1136" s="105">
        <v>45615</v>
      </c>
      <c r="D1136" s="12" t="s">
        <v>3157</v>
      </c>
      <c r="E1136" s="67"/>
      <c r="F1136" s="12" t="s">
        <v>3179</v>
      </c>
      <c r="G1136" s="98"/>
      <c r="H1136" s="67"/>
      <c r="I1136" s="71"/>
      <c r="J1136" s="72">
        <v>185</v>
      </c>
      <c r="K1136" s="88" t="s">
        <v>17</v>
      </c>
      <c r="L1136" s="73"/>
      <c r="M1136" s="11" t="s">
        <v>18</v>
      </c>
    </row>
    <row r="1137" spans="2:13" ht="15" customHeight="1" x14ac:dyDescent="0.25">
      <c r="B1137" s="11" t="s">
        <v>3180</v>
      </c>
      <c r="C1137" s="105">
        <v>45617</v>
      </c>
      <c r="D1137" s="12" t="s">
        <v>3181</v>
      </c>
      <c r="E1137" s="67"/>
      <c r="F1137" s="12" t="s">
        <v>3182</v>
      </c>
      <c r="G1137" s="98"/>
      <c r="H1137" s="67"/>
      <c r="I1137" s="71"/>
      <c r="J1137" s="72">
        <v>17190</v>
      </c>
      <c r="K1137" s="88" t="s">
        <v>1754</v>
      </c>
      <c r="L1137" s="73"/>
      <c r="M1137" s="11" t="s">
        <v>18</v>
      </c>
    </row>
    <row r="1138" spans="2:13" ht="15" customHeight="1" x14ac:dyDescent="0.25">
      <c r="B1138" s="11" t="s">
        <v>3183</v>
      </c>
      <c r="C1138" s="105">
        <v>45615</v>
      </c>
      <c r="D1138" s="12" t="s">
        <v>3157</v>
      </c>
      <c r="E1138" s="67"/>
      <c r="F1138" s="12" t="s">
        <v>3184</v>
      </c>
      <c r="G1138" s="98"/>
      <c r="H1138" s="67"/>
      <c r="I1138" s="71"/>
      <c r="J1138" s="72">
        <v>225</v>
      </c>
      <c r="K1138" s="88" t="s">
        <v>17</v>
      </c>
      <c r="L1138" s="73"/>
      <c r="M1138" s="11" t="s">
        <v>18</v>
      </c>
    </row>
    <row r="1139" spans="2:13" ht="15" customHeight="1" x14ac:dyDescent="0.25">
      <c r="B1139" s="11" t="s">
        <v>3185</v>
      </c>
      <c r="C1139" s="105">
        <v>45615</v>
      </c>
      <c r="D1139" s="12" t="s">
        <v>3157</v>
      </c>
      <c r="E1139" s="67"/>
      <c r="F1139" s="12" t="s">
        <v>922</v>
      </c>
      <c r="G1139" s="98"/>
      <c r="H1139" s="67"/>
      <c r="I1139" s="71"/>
      <c r="J1139" s="72">
        <v>195</v>
      </c>
      <c r="K1139" s="88" t="s">
        <v>17</v>
      </c>
      <c r="L1139" s="73"/>
      <c r="M1139" s="11" t="s">
        <v>18</v>
      </c>
    </row>
    <row r="1140" spans="2:13" ht="15" customHeight="1" x14ac:dyDescent="0.25">
      <c r="B1140" s="11" t="s">
        <v>3186</v>
      </c>
      <c r="C1140" s="105">
        <v>45615</v>
      </c>
      <c r="D1140" s="12" t="s">
        <v>451</v>
      </c>
      <c r="E1140" s="67"/>
      <c r="F1140" s="12" t="s">
        <v>3187</v>
      </c>
      <c r="G1140" s="98"/>
      <c r="H1140" s="67"/>
      <c r="I1140" s="71"/>
      <c r="J1140" s="72">
        <v>2750</v>
      </c>
      <c r="K1140" s="88" t="s">
        <v>17</v>
      </c>
      <c r="L1140" s="73"/>
      <c r="M1140" s="11" t="s">
        <v>18</v>
      </c>
    </row>
    <row r="1141" spans="2:13" ht="15" customHeight="1" x14ac:dyDescent="0.25">
      <c r="B1141" s="11" t="s">
        <v>3188</v>
      </c>
      <c r="C1141" s="105">
        <v>45617</v>
      </c>
      <c r="D1141" s="12" t="s">
        <v>3189</v>
      </c>
      <c r="E1141" s="67"/>
      <c r="F1141" s="12" t="s">
        <v>3190</v>
      </c>
      <c r="G1141" s="98"/>
      <c r="H1141" s="67"/>
      <c r="I1141" s="71"/>
      <c r="J1141" s="72">
        <v>3419.5</v>
      </c>
      <c r="K1141" s="88" t="s">
        <v>1754</v>
      </c>
      <c r="L1141" s="73"/>
      <c r="M1141" s="11" t="s">
        <v>18</v>
      </c>
    </row>
    <row r="1142" spans="2:13" ht="15" customHeight="1" x14ac:dyDescent="0.25">
      <c r="B1142" s="11" t="s">
        <v>3191</v>
      </c>
      <c r="C1142" s="105">
        <v>45616</v>
      </c>
      <c r="D1142" s="12" t="s">
        <v>3157</v>
      </c>
      <c r="E1142" s="67"/>
      <c r="F1142" s="12" t="s">
        <v>3192</v>
      </c>
      <c r="G1142" s="98"/>
      <c r="H1142" s="67"/>
      <c r="I1142" s="71"/>
      <c r="J1142" s="72">
        <v>6152.2</v>
      </c>
      <c r="K1142" s="88" t="s">
        <v>17</v>
      </c>
      <c r="L1142" s="73"/>
      <c r="M1142" s="11" t="s">
        <v>31</v>
      </c>
    </row>
    <row r="1143" spans="2:13" ht="15" customHeight="1" x14ac:dyDescent="0.25">
      <c r="B1143" s="11" t="s">
        <v>3193</v>
      </c>
      <c r="C1143" s="105">
        <v>45616</v>
      </c>
      <c r="D1143" s="12" t="s">
        <v>241</v>
      </c>
      <c r="E1143" s="67"/>
      <c r="F1143" s="12" t="s">
        <v>3194</v>
      </c>
      <c r="G1143" s="98"/>
      <c r="H1143" s="67"/>
      <c r="I1143" s="71"/>
      <c r="J1143" s="72">
        <v>405</v>
      </c>
      <c r="K1143" s="88" t="s">
        <v>17</v>
      </c>
      <c r="L1143" s="73"/>
      <c r="M1143" s="11" t="s">
        <v>31</v>
      </c>
    </row>
    <row r="1144" spans="2:13" ht="15" customHeight="1" x14ac:dyDescent="0.25">
      <c r="B1144" s="11" t="s">
        <v>3195</v>
      </c>
      <c r="C1144" s="105">
        <v>45617</v>
      </c>
      <c r="D1144" s="12" t="s">
        <v>630</v>
      </c>
      <c r="E1144" s="67"/>
      <c r="F1144" s="12" t="s">
        <v>3196</v>
      </c>
      <c r="G1144" s="98"/>
      <c r="H1144" s="67"/>
      <c r="I1144" s="71"/>
      <c r="J1144" s="72">
        <v>1550</v>
      </c>
      <c r="K1144" s="88" t="s">
        <v>17</v>
      </c>
      <c r="L1144" s="73"/>
      <c r="M1144" s="11" t="s">
        <v>31</v>
      </c>
    </row>
    <row r="1145" spans="2:13" ht="15" customHeight="1" x14ac:dyDescent="0.25">
      <c r="B1145" s="11" t="s">
        <v>3197</v>
      </c>
      <c r="C1145" s="105">
        <v>45617</v>
      </c>
      <c r="D1145" s="12" t="s">
        <v>2254</v>
      </c>
      <c r="E1145" s="67"/>
      <c r="F1145" s="12" t="s">
        <v>3198</v>
      </c>
      <c r="G1145" s="98"/>
      <c r="H1145" s="67"/>
      <c r="I1145" s="71"/>
      <c r="J1145" s="72">
        <v>1350</v>
      </c>
      <c r="K1145" s="88" t="s">
        <v>17</v>
      </c>
      <c r="L1145" s="73"/>
      <c r="M1145" s="11" t="s">
        <v>31</v>
      </c>
    </row>
    <row r="1146" spans="2:13" ht="15" customHeight="1" x14ac:dyDescent="0.25">
      <c r="B1146" s="11" t="s">
        <v>3199</v>
      </c>
      <c r="C1146" s="105">
        <v>45617</v>
      </c>
      <c r="D1146" s="12" t="s">
        <v>2891</v>
      </c>
      <c r="E1146" s="67"/>
      <c r="F1146" s="12" t="s">
        <v>3200</v>
      </c>
      <c r="G1146" s="98"/>
      <c r="H1146" s="67"/>
      <c r="I1146" s="71"/>
      <c r="J1146" s="72">
        <v>69.7</v>
      </c>
      <c r="K1146" s="88" t="s">
        <v>1754</v>
      </c>
      <c r="L1146" s="73"/>
      <c r="M1146" s="11" t="s">
        <v>18</v>
      </c>
    </row>
    <row r="1147" spans="2:13" ht="15" customHeight="1" x14ac:dyDescent="0.25">
      <c r="B1147" s="11" t="s">
        <v>3201</v>
      </c>
      <c r="C1147" s="105">
        <v>45617</v>
      </c>
      <c r="D1147" s="12" t="s">
        <v>1060</v>
      </c>
      <c r="E1147" s="67"/>
      <c r="F1147" s="12" t="s">
        <v>3202</v>
      </c>
      <c r="G1147" s="98"/>
      <c r="H1147" s="67"/>
      <c r="I1147" s="71"/>
      <c r="J1147" s="72">
        <v>10425</v>
      </c>
      <c r="K1147" s="88" t="s">
        <v>17</v>
      </c>
      <c r="L1147" s="73"/>
      <c r="M1147" s="11" t="s">
        <v>18</v>
      </c>
    </row>
    <row r="1148" spans="2:13" ht="15" customHeight="1" x14ac:dyDescent="0.25">
      <c r="B1148" s="11" t="s">
        <v>3203</v>
      </c>
      <c r="C1148" s="105">
        <v>45618</v>
      </c>
      <c r="D1148" s="12" t="s">
        <v>65</v>
      </c>
      <c r="E1148" s="67"/>
      <c r="F1148" s="12" t="s">
        <v>3204</v>
      </c>
      <c r="G1148" s="98"/>
      <c r="H1148" s="67"/>
      <c r="I1148" s="71"/>
      <c r="J1148" s="72">
        <v>9065</v>
      </c>
      <c r="K1148" s="88" t="s">
        <v>17</v>
      </c>
      <c r="L1148" s="73"/>
      <c r="M1148" s="11" t="s">
        <v>18</v>
      </c>
    </row>
    <row r="1149" spans="2:13" ht="15" customHeight="1" x14ac:dyDescent="0.25">
      <c r="B1149" s="11" t="s">
        <v>3205</v>
      </c>
      <c r="C1149" s="105">
        <v>45623</v>
      </c>
      <c r="D1149" s="12" t="s">
        <v>3206</v>
      </c>
      <c r="E1149" s="67"/>
      <c r="F1149" s="12" t="s">
        <v>3207</v>
      </c>
      <c r="G1149" s="98"/>
      <c r="H1149" s="67"/>
      <c r="I1149" s="71"/>
      <c r="J1149" s="72">
        <v>487.5</v>
      </c>
      <c r="K1149" s="88" t="s">
        <v>17</v>
      </c>
      <c r="L1149" s="73"/>
      <c r="M1149" s="11" t="s">
        <v>31</v>
      </c>
    </row>
    <row r="1150" spans="2:13" ht="15" customHeight="1" x14ac:dyDescent="0.25">
      <c r="B1150" s="11" t="s">
        <v>3208</v>
      </c>
      <c r="C1150" s="105">
        <v>45618</v>
      </c>
      <c r="D1150" s="12" t="s">
        <v>241</v>
      </c>
      <c r="E1150" s="67"/>
      <c r="F1150" s="12" t="s">
        <v>3209</v>
      </c>
      <c r="G1150" s="98"/>
      <c r="H1150" s="67"/>
      <c r="I1150" s="71"/>
      <c r="J1150" s="72">
        <v>580</v>
      </c>
      <c r="K1150" s="88" t="s">
        <v>17</v>
      </c>
      <c r="L1150" s="73"/>
      <c r="M1150" s="11" t="s">
        <v>31</v>
      </c>
    </row>
    <row r="1151" spans="2:13" ht="15" customHeight="1" x14ac:dyDescent="0.25">
      <c r="B1151" s="11" t="s">
        <v>3210</v>
      </c>
      <c r="C1151" s="105">
        <v>45652</v>
      </c>
      <c r="D1151" s="12" t="s">
        <v>1505</v>
      </c>
      <c r="E1151" s="136"/>
      <c r="F1151" s="12" t="s">
        <v>3211</v>
      </c>
      <c r="G1151" s="137"/>
      <c r="H1151" s="67"/>
      <c r="I1151" s="138"/>
      <c r="J1151" s="72">
        <v>27125</v>
      </c>
      <c r="K1151" s="126" t="s">
        <v>17</v>
      </c>
      <c r="L1151" s="73"/>
      <c r="M1151" s="11" t="s">
        <v>31</v>
      </c>
    </row>
    <row r="1152" spans="2:13" ht="15" customHeight="1" x14ac:dyDescent="0.25">
      <c r="B1152" s="11" t="s">
        <v>3212</v>
      </c>
      <c r="C1152" s="105">
        <v>45652</v>
      </c>
      <c r="D1152" s="12" t="s">
        <v>3213</v>
      </c>
      <c r="E1152" s="136"/>
      <c r="F1152" s="12" t="s">
        <v>3214</v>
      </c>
      <c r="G1152" s="137"/>
      <c r="H1152" s="67"/>
      <c r="I1152" s="138"/>
      <c r="J1152" s="72">
        <v>12015</v>
      </c>
      <c r="K1152" s="126" t="s">
        <v>17</v>
      </c>
      <c r="L1152" s="73"/>
      <c r="M1152" s="11" t="s">
        <v>31</v>
      </c>
    </row>
    <row r="1153" spans="2:13" ht="15" customHeight="1" x14ac:dyDescent="0.25">
      <c r="B1153" s="8" t="s">
        <v>3215</v>
      </c>
      <c r="C1153" s="128">
        <v>45618</v>
      </c>
      <c r="D1153" s="10" t="s">
        <v>1060</v>
      </c>
      <c r="E1153" s="67"/>
      <c r="F1153" s="10" t="s">
        <v>3216</v>
      </c>
      <c r="G1153" s="98"/>
      <c r="H1153" s="67"/>
      <c r="I1153" s="71"/>
      <c r="J1153" s="141">
        <v>23840</v>
      </c>
      <c r="K1153" s="88" t="s">
        <v>17</v>
      </c>
      <c r="L1153" s="73"/>
      <c r="M1153" s="11" t="s">
        <v>31</v>
      </c>
    </row>
    <row r="1154" spans="2:13" ht="15" customHeight="1" x14ac:dyDescent="0.25">
      <c r="B1154" s="11" t="s">
        <v>3217</v>
      </c>
      <c r="C1154" s="105">
        <v>45618</v>
      </c>
      <c r="D1154" s="12" t="s">
        <v>936</v>
      </c>
      <c r="E1154" s="67"/>
      <c r="F1154" s="12" t="s">
        <v>2719</v>
      </c>
      <c r="G1154" s="98"/>
      <c r="H1154" s="67"/>
      <c r="I1154" s="71"/>
      <c r="J1154" s="72">
        <v>5625</v>
      </c>
      <c r="K1154" s="88" t="s">
        <v>1754</v>
      </c>
      <c r="L1154" s="73"/>
      <c r="M1154" s="11" t="s">
        <v>31</v>
      </c>
    </row>
    <row r="1155" spans="2:13" ht="15" customHeight="1" x14ac:dyDescent="0.25">
      <c r="B1155" s="11" t="s">
        <v>3218</v>
      </c>
      <c r="C1155" s="105">
        <v>45618</v>
      </c>
      <c r="D1155" s="12" t="s">
        <v>1043</v>
      </c>
      <c r="E1155" s="67"/>
      <c r="F1155" s="12" t="s">
        <v>3219</v>
      </c>
      <c r="G1155" s="98"/>
      <c r="H1155" s="67"/>
      <c r="I1155" s="71"/>
      <c r="J1155" s="72">
        <v>725</v>
      </c>
      <c r="K1155" s="88" t="s">
        <v>1754</v>
      </c>
      <c r="L1155" s="73"/>
      <c r="M1155" s="11" t="s">
        <v>18</v>
      </c>
    </row>
    <row r="1156" spans="2:13" ht="15" customHeight="1" x14ac:dyDescent="0.25">
      <c r="B1156" s="11" t="s">
        <v>3220</v>
      </c>
      <c r="C1156" s="105">
        <v>45637</v>
      </c>
      <c r="D1156" s="12" t="s">
        <v>429</v>
      </c>
      <c r="E1156" s="67"/>
      <c r="F1156" s="12" t="s">
        <v>3221</v>
      </c>
      <c r="G1156" s="98"/>
      <c r="H1156" s="67"/>
      <c r="I1156" s="71"/>
      <c r="J1156" s="72">
        <v>3000</v>
      </c>
      <c r="K1156" s="88" t="s">
        <v>17</v>
      </c>
      <c r="L1156" s="73"/>
      <c r="M1156" s="11" t="s">
        <v>31</v>
      </c>
    </row>
    <row r="1157" spans="2:13" ht="15" customHeight="1" x14ac:dyDescent="0.25">
      <c r="B1157" s="11" t="s">
        <v>3222</v>
      </c>
      <c r="C1157" s="105">
        <v>45618</v>
      </c>
      <c r="D1157" s="12" t="s">
        <v>3097</v>
      </c>
      <c r="E1157" s="67"/>
      <c r="F1157" s="12" t="s">
        <v>3223</v>
      </c>
      <c r="G1157" s="98"/>
      <c r="H1157" s="67"/>
      <c r="I1157" s="71"/>
      <c r="J1157" s="72">
        <v>9993.5</v>
      </c>
      <c r="K1157" s="88" t="s">
        <v>1754</v>
      </c>
      <c r="L1157" s="73"/>
      <c r="M1157" s="11" t="s">
        <v>18</v>
      </c>
    </row>
    <row r="1158" spans="2:13" ht="15" customHeight="1" x14ac:dyDescent="0.25">
      <c r="B1158" s="11" t="s">
        <v>3224</v>
      </c>
      <c r="C1158" s="105">
        <v>45621</v>
      </c>
      <c r="D1158" s="12" t="s">
        <v>241</v>
      </c>
      <c r="E1158" s="67"/>
      <c r="F1158" s="12" t="s">
        <v>3225</v>
      </c>
      <c r="G1158" s="98"/>
      <c r="H1158" s="67"/>
      <c r="I1158" s="71"/>
      <c r="J1158" s="72">
        <v>405</v>
      </c>
      <c r="K1158" s="88" t="s">
        <v>17</v>
      </c>
      <c r="L1158" s="73"/>
      <c r="M1158" s="11" t="s">
        <v>31</v>
      </c>
    </row>
    <row r="1159" spans="2:13" ht="15" customHeight="1" x14ac:dyDescent="0.25">
      <c r="B1159" s="11" t="s">
        <v>3226</v>
      </c>
      <c r="C1159" s="105">
        <v>45622</v>
      </c>
      <c r="D1159" s="12" t="s">
        <v>2233</v>
      </c>
      <c r="E1159" s="67"/>
      <c r="F1159" s="12" t="s">
        <v>3227</v>
      </c>
      <c r="G1159" s="98"/>
      <c r="H1159" s="67"/>
      <c r="I1159" s="71"/>
      <c r="J1159" s="72">
        <v>22072.5</v>
      </c>
      <c r="K1159" s="88" t="s">
        <v>17</v>
      </c>
      <c r="L1159" s="73"/>
      <c r="M1159" s="11" t="s">
        <v>31</v>
      </c>
    </row>
    <row r="1160" spans="2:13" ht="15" customHeight="1" x14ac:dyDescent="0.25">
      <c r="B1160" s="11" t="s">
        <v>3228</v>
      </c>
      <c r="C1160" s="105">
        <v>45622</v>
      </c>
      <c r="D1160" s="12" t="s">
        <v>1060</v>
      </c>
      <c r="E1160" s="67"/>
      <c r="F1160" s="12" t="s">
        <v>3229</v>
      </c>
      <c r="G1160" s="98"/>
      <c r="H1160" s="67"/>
      <c r="I1160" s="71"/>
      <c r="J1160" s="72">
        <v>1536</v>
      </c>
      <c r="K1160" s="88" t="s">
        <v>17</v>
      </c>
      <c r="L1160" s="73"/>
      <c r="M1160" s="11" t="s">
        <v>31</v>
      </c>
    </row>
    <row r="1161" spans="2:13" ht="15" customHeight="1" x14ac:dyDescent="0.25">
      <c r="B1161" s="11" t="s">
        <v>3230</v>
      </c>
      <c r="C1161" s="105">
        <v>45623</v>
      </c>
      <c r="D1161" s="12" t="s">
        <v>2354</v>
      </c>
      <c r="E1161" s="67"/>
      <c r="F1161" s="12" t="s">
        <v>932</v>
      </c>
      <c r="G1161" s="98"/>
      <c r="H1161" s="67"/>
      <c r="I1161" s="71"/>
      <c r="J1161" s="72">
        <v>278</v>
      </c>
      <c r="K1161" s="88" t="s">
        <v>17</v>
      </c>
      <c r="L1161" s="73"/>
      <c r="M1161" s="11" t="s">
        <v>31</v>
      </c>
    </row>
    <row r="1162" spans="2:13" ht="15" customHeight="1" x14ac:dyDescent="0.25">
      <c r="B1162" s="11" t="s">
        <v>3231</v>
      </c>
      <c r="C1162" s="105">
        <v>45624</v>
      </c>
      <c r="D1162" s="12" t="s">
        <v>642</v>
      </c>
      <c r="E1162" s="67"/>
      <c r="F1162" s="12" t="s">
        <v>3232</v>
      </c>
      <c r="G1162" s="98"/>
      <c r="H1162" s="67"/>
      <c r="I1162" s="71"/>
      <c r="J1162" s="72">
        <v>532.5</v>
      </c>
      <c r="K1162" s="88" t="s">
        <v>17</v>
      </c>
      <c r="L1162" s="73"/>
      <c r="M1162" s="11" t="s">
        <v>18</v>
      </c>
    </row>
    <row r="1163" spans="2:13" ht="15" customHeight="1" x14ac:dyDescent="0.25">
      <c r="B1163" s="11" t="s">
        <v>3233</v>
      </c>
      <c r="C1163" s="105">
        <v>45624</v>
      </c>
      <c r="D1163" s="12" t="s">
        <v>241</v>
      </c>
      <c r="E1163" s="67"/>
      <c r="F1163" s="12" t="s">
        <v>3234</v>
      </c>
      <c r="G1163" s="98"/>
      <c r="H1163" s="67"/>
      <c r="I1163" s="71"/>
      <c r="J1163" s="72">
        <v>405</v>
      </c>
      <c r="K1163" s="88" t="s">
        <v>17</v>
      </c>
      <c r="L1163" s="73"/>
      <c r="M1163" s="11" t="s">
        <v>31</v>
      </c>
    </row>
    <row r="1164" spans="2:13" ht="15" customHeight="1" x14ac:dyDescent="0.25">
      <c r="B1164" s="11" t="s">
        <v>3235</v>
      </c>
      <c r="C1164" s="105">
        <v>45624</v>
      </c>
      <c r="D1164" s="12" t="s">
        <v>3157</v>
      </c>
      <c r="E1164" s="67"/>
      <c r="F1164" s="12" t="s">
        <v>3236</v>
      </c>
      <c r="G1164" s="98"/>
      <c r="H1164" s="67"/>
      <c r="I1164" s="71"/>
      <c r="J1164" s="72">
        <v>264</v>
      </c>
      <c r="K1164" s="88" t="s">
        <v>17</v>
      </c>
      <c r="L1164" s="73"/>
      <c r="M1164" s="11" t="s">
        <v>31</v>
      </c>
    </row>
    <row r="1165" spans="2:13" ht="15" customHeight="1" x14ac:dyDescent="0.25">
      <c r="B1165" s="11" t="s">
        <v>3237</v>
      </c>
      <c r="C1165" s="105">
        <v>45624</v>
      </c>
      <c r="D1165" s="12" t="s">
        <v>3056</v>
      </c>
      <c r="E1165" s="136"/>
      <c r="F1165" s="12" t="s">
        <v>3238</v>
      </c>
      <c r="G1165" s="137"/>
      <c r="H1165" s="67"/>
      <c r="I1165" s="138"/>
      <c r="J1165" s="72">
        <v>3625</v>
      </c>
      <c r="K1165" s="88" t="s">
        <v>3239</v>
      </c>
      <c r="L1165" s="73"/>
      <c r="M1165" s="11" t="s">
        <v>18</v>
      </c>
    </row>
    <row r="1166" spans="2:13" ht="15" customHeight="1" x14ac:dyDescent="0.25">
      <c r="B1166" s="8" t="s">
        <v>3240</v>
      </c>
      <c r="C1166" s="128">
        <v>45624</v>
      </c>
      <c r="D1166" s="10" t="s">
        <v>1034</v>
      </c>
      <c r="E1166" s="67"/>
      <c r="F1166" s="10" t="s">
        <v>3241</v>
      </c>
      <c r="G1166" s="98"/>
      <c r="H1166" s="67"/>
      <c r="I1166" s="71"/>
      <c r="J1166" s="139">
        <v>5250</v>
      </c>
      <c r="K1166" s="88" t="s">
        <v>17</v>
      </c>
      <c r="L1166" s="73"/>
      <c r="M1166" s="11" t="s">
        <v>18</v>
      </c>
    </row>
    <row r="1167" spans="2:13" ht="15" customHeight="1" x14ac:dyDescent="0.25">
      <c r="B1167" s="11" t="s">
        <v>3242</v>
      </c>
      <c r="C1167" s="105">
        <v>45625</v>
      </c>
      <c r="D1167" s="12" t="s">
        <v>1175</v>
      </c>
      <c r="E1167" s="136"/>
      <c r="F1167" s="12" t="s">
        <v>3243</v>
      </c>
      <c r="G1167" s="137"/>
      <c r="H1167" s="67"/>
      <c r="I1167" s="138"/>
      <c r="J1167" s="72">
        <v>2500</v>
      </c>
      <c r="K1167" s="126" t="s">
        <v>17</v>
      </c>
      <c r="L1167" s="73"/>
      <c r="M1167" s="11" t="s">
        <v>18</v>
      </c>
    </row>
    <row r="1168" spans="2:13" ht="15" customHeight="1" x14ac:dyDescent="0.25">
      <c r="B1168" s="8" t="s">
        <v>3244</v>
      </c>
      <c r="C1168" s="128">
        <v>45625</v>
      </c>
      <c r="D1168" s="10" t="s">
        <v>27</v>
      </c>
      <c r="E1168" s="67"/>
      <c r="F1168" s="10" t="s">
        <v>3245</v>
      </c>
      <c r="G1168" s="98"/>
      <c r="H1168" s="67"/>
      <c r="I1168" s="71"/>
      <c r="J1168" s="139">
        <v>2925</v>
      </c>
      <c r="K1168" s="88" t="s">
        <v>17</v>
      </c>
      <c r="L1168" s="73"/>
      <c r="M1168" s="11" t="s">
        <v>31</v>
      </c>
    </row>
    <row r="1169" spans="2:13" ht="15" customHeight="1" x14ac:dyDescent="0.25">
      <c r="B1169" s="11" t="s">
        <v>3246</v>
      </c>
      <c r="C1169" s="105">
        <v>45625</v>
      </c>
      <c r="D1169" s="12" t="s">
        <v>654</v>
      </c>
      <c r="E1169" s="67"/>
      <c r="F1169" s="12" t="s">
        <v>120</v>
      </c>
      <c r="G1169" s="98"/>
      <c r="H1169" s="67"/>
      <c r="I1169" s="71"/>
      <c r="J1169" s="72">
        <v>8600</v>
      </c>
      <c r="K1169" s="88" t="s">
        <v>17</v>
      </c>
      <c r="L1169" s="73"/>
      <c r="M1169" s="11" t="s">
        <v>31</v>
      </c>
    </row>
    <row r="1170" spans="2:13" ht="15" customHeight="1" x14ac:dyDescent="0.25">
      <c r="B1170" s="11" t="s">
        <v>3247</v>
      </c>
      <c r="C1170" s="105">
        <v>45625</v>
      </c>
      <c r="D1170" s="12" t="s">
        <v>1175</v>
      </c>
      <c r="E1170" s="136"/>
      <c r="F1170" s="12" t="s">
        <v>3248</v>
      </c>
      <c r="G1170" s="137"/>
      <c r="H1170" s="67"/>
      <c r="I1170" s="138"/>
      <c r="J1170" s="72">
        <v>350</v>
      </c>
      <c r="K1170" s="126" t="s">
        <v>17</v>
      </c>
      <c r="L1170" s="73"/>
      <c r="M1170" s="11" t="s">
        <v>18</v>
      </c>
    </row>
    <row r="1171" spans="2:13" ht="15" customHeight="1" x14ac:dyDescent="0.25">
      <c r="B1171" s="8" t="s">
        <v>3249</v>
      </c>
      <c r="C1171" s="128">
        <v>45630</v>
      </c>
      <c r="D1171" s="10" t="s">
        <v>3250</v>
      </c>
      <c r="E1171" s="67"/>
      <c r="F1171" s="10" t="s">
        <v>1389</v>
      </c>
      <c r="G1171" s="98"/>
      <c r="H1171" s="67"/>
      <c r="I1171" s="71"/>
      <c r="J1171" s="139">
        <v>640</v>
      </c>
      <c r="K1171" s="88" t="s">
        <v>1874</v>
      </c>
      <c r="L1171" s="73"/>
      <c r="M1171" s="11" t="s">
        <v>18</v>
      </c>
    </row>
    <row r="1172" spans="2:13" ht="15" customHeight="1" x14ac:dyDescent="0.25">
      <c r="B1172" s="11" t="s">
        <v>3251</v>
      </c>
      <c r="C1172" s="105">
        <v>45630</v>
      </c>
      <c r="D1172" s="12" t="s">
        <v>159</v>
      </c>
      <c r="E1172" s="136"/>
      <c r="F1172" s="12" t="s">
        <v>900</v>
      </c>
      <c r="G1172" s="137"/>
      <c r="H1172" s="67"/>
      <c r="I1172" s="138"/>
      <c r="J1172" s="72">
        <v>795</v>
      </c>
      <c r="K1172" s="88" t="s">
        <v>3239</v>
      </c>
      <c r="L1172" s="73"/>
      <c r="M1172" s="11" t="s">
        <v>18</v>
      </c>
    </row>
    <row r="1173" spans="2:13" ht="15" customHeight="1" x14ac:dyDescent="0.25">
      <c r="B1173" s="8" t="s">
        <v>3252</v>
      </c>
      <c r="C1173" s="128">
        <v>45630</v>
      </c>
      <c r="D1173" s="10" t="s">
        <v>3253</v>
      </c>
      <c r="E1173" s="67"/>
      <c r="F1173" s="10" t="s">
        <v>3254</v>
      </c>
      <c r="G1173" s="98"/>
      <c r="H1173" s="67"/>
      <c r="I1173" s="71"/>
      <c r="J1173" s="139">
        <v>1750</v>
      </c>
      <c r="K1173" s="88" t="s">
        <v>17</v>
      </c>
      <c r="L1173" s="73"/>
      <c r="M1173" s="11" t="s">
        <v>18</v>
      </c>
    </row>
    <row r="1174" spans="2:13" ht="15" customHeight="1" x14ac:dyDescent="0.25">
      <c r="B1174" s="11" t="s">
        <v>3255</v>
      </c>
      <c r="C1174" s="105">
        <v>45643</v>
      </c>
      <c r="D1174" s="12" t="s">
        <v>3256</v>
      </c>
      <c r="E1174" s="67"/>
      <c r="F1174" s="12" t="s">
        <v>827</v>
      </c>
      <c r="G1174" s="98"/>
      <c r="H1174" s="67"/>
      <c r="I1174" s="71"/>
      <c r="J1174" s="72">
        <v>4000</v>
      </c>
      <c r="K1174" s="88" t="s">
        <v>17</v>
      </c>
      <c r="L1174" s="73"/>
      <c r="M1174" s="11" t="s">
        <v>31</v>
      </c>
    </row>
    <row r="1175" spans="2:13" ht="15" customHeight="1" x14ac:dyDescent="0.25">
      <c r="B1175" s="11" t="s">
        <v>3257</v>
      </c>
      <c r="C1175" s="105">
        <v>45632</v>
      </c>
      <c r="D1175" s="12" t="s">
        <v>3157</v>
      </c>
      <c r="E1175" s="67"/>
      <c r="F1175" s="12" t="s">
        <v>3258</v>
      </c>
      <c r="G1175" s="98"/>
      <c r="H1175" s="67"/>
      <c r="I1175" s="71"/>
      <c r="J1175" s="72">
        <v>2800</v>
      </c>
      <c r="K1175" s="88" t="s">
        <v>17</v>
      </c>
      <c r="L1175" s="73"/>
      <c r="M1175" s="11" t="s">
        <v>18</v>
      </c>
    </row>
    <row r="1176" spans="2:13" ht="15" customHeight="1" x14ac:dyDescent="0.25">
      <c r="B1176" s="11" t="s">
        <v>3259</v>
      </c>
      <c r="C1176" s="105">
        <v>45638</v>
      </c>
      <c r="D1176" s="12" t="s">
        <v>3260</v>
      </c>
      <c r="E1176" s="67"/>
      <c r="F1176" s="12" t="s">
        <v>468</v>
      </c>
      <c r="G1176" s="98"/>
      <c r="H1176" s="67"/>
      <c r="I1176" s="71"/>
      <c r="J1176" s="142">
        <v>7200</v>
      </c>
      <c r="K1176" s="67" t="s">
        <v>3261</v>
      </c>
      <c r="L1176" s="143"/>
      <c r="M1176" s="11" t="s">
        <v>31</v>
      </c>
    </row>
    <row r="1177" spans="2:13" ht="15" customHeight="1" x14ac:dyDescent="0.25">
      <c r="B1177" s="11" t="s">
        <v>3262</v>
      </c>
      <c r="C1177" s="105">
        <v>45635</v>
      </c>
      <c r="D1177" s="12" t="s">
        <v>463</v>
      </c>
      <c r="F1177" s="12" t="s">
        <v>3263</v>
      </c>
      <c r="J1177" s="71">
        <v>2125</v>
      </c>
      <c r="K1177" s="99" t="s">
        <v>17</v>
      </c>
      <c r="M1177" s="11" t="s">
        <v>31</v>
      </c>
    </row>
    <row r="1178" spans="2:13" x14ac:dyDescent="0.25">
      <c r="B1178" s="8" t="s">
        <v>3264</v>
      </c>
      <c r="C1178" s="128">
        <v>45635</v>
      </c>
      <c r="D1178" s="10" t="s">
        <v>44</v>
      </c>
      <c r="E1178" s="67"/>
      <c r="F1178" s="10" t="s">
        <v>3265</v>
      </c>
      <c r="G1178" s="98"/>
      <c r="H1178" s="67"/>
      <c r="I1178" s="71"/>
      <c r="J1178" s="139">
        <v>325</v>
      </c>
      <c r="K1178" s="88" t="s">
        <v>17</v>
      </c>
      <c r="L1178" s="73"/>
      <c r="M1178" s="11" t="s">
        <v>18</v>
      </c>
    </row>
    <row r="1179" spans="2:13" x14ac:dyDescent="0.25">
      <c r="B1179" s="11" t="s">
        <v>3266</v>
      </c>
      <c r="C1179" s="105">
        <v>45635</v>
      </c>
      <c r="D1179" s="12" t="s">
        <v>142</v>
      </c>
      <c r="E1179" s="67"/>
      <c r="F1179" s="12" t="s">
        <v>2605</v>
      </c>
      <c r="G1179" s="98"/>
      <c r="H1179" s="67"/>
      <c r="I1179" s="71"/>
      <c r="J1179" s="72">
        <v>225</v>
      </c>
      <c r="K1179" s="88" t="s">
        <v>17</v>
      </c>
      <c r="L1179" s="73"/>
      <c r="M1179" s="11" t="s">
        <v>18</v>
      </c>
    </row>
    <row r="1180" spans="2:13" ht="15" customHeight="1" x14ac:dyDescent="0.25">
      <c r="B1180" s="11" t="s">
        <v>3267</v>
      </c>
      <c r="C1180" s="105">
        <v>45635</v>
      </c>
      <c r="D1180" s="12" t="s">
        <v>2638</v>
      </c>
      <c r="E1180" s="136"/>
      <c r="F1180" s="12" t="s">
        <v>3268</v>
      </c>
      <c r="G1180" s="137"/>
      <c r="H1180" s="67"/>
      <c r="I1180" s="138"/>
      <c r="J1180" s="72">
        <v>5875</v>
      </c>
      <c r="K1180" s="88" t="s">
        <v>3239</v>
      </c>
      <c r="L1180" s="73"/>
      <c r="M1180" s="11" t="s">
        <v>18</v>
      </c>
    </row>
    <row r="1181" spans="2:13" ht="15" customHeight="1" x14ac:dyDescent="0.25">
      <c r="B1181" s="11" t="s">
        <v>3269</v>
      </c>
      <c r="C1181" s="105">
        <v>45636</v>
      </c>
      <c r="D1181" s="12" t="s">
        <v>3270</v>
      </c>
      <c r="E1181" s="136"/>
      <c r="F1181" s="12" t="s">
        <v>3271</v>
      </c>
      <c r="G1181" s="137"/>
      <c r="H1181" s="67"/>
      <c r="I1181" s="138"/>
      <c r="J1181" s="72">
        <v>2700</v>
      </c>
      <c r="K1181" s="88" t="s">
        <v>3239</v>
      </c>
      <c r="L1181" s="73"/>
      <c r="M1181" s="11" t="s">
        <v>18</v>
      </c>
    </row>
    <row r="1182" spans="2:13" ht="15" customHeight="1" x14ac:dyDescent="0.25">
      <c r="B1182" s="11" t="s">
        <v>3272</v>
      </c>
      <c r="C1182" s="105">
        <v>45636</v>
      </c>
      <c r="D1182" s="12" t="s">
        <v>3189</v>
      </c>
      <c r="E1182" s="136"/>
      <c r="F1182" s="12" t="s">
        <v>803</v>
      </c>
      <c r="G1182" s="137"/>
      <c r="H1182" s="67"/>
      <c r="I1182" s="138"/>
      <c r="J1182" s="72">
        <v>2250</v>
      </c>
      <c r="K1182" s="88" t="s">
        <v>3239</v>
      </c>
      <c r="L1182" s="73"/>
      <c r="M1182" s="11" t="s">
        <v>18</v>
      </c>
    </row>
    <row r="1183" spans="2:13" ht="15" customHeight="1" x14ac:dyDescent="0.25">
      <c r="B1183" s="11" t="s">
        <v>3273</v>
      </c>
      <c r="C1183" s="105">
        <v>45636</v>
      </c>
      <c r="D1183" s="12" t="s">
        <v>1409</v>
      </c>
      <c r="E1183" s="136"/>
      <c r="F1183" s="12" t="s">
        <v>3274</v>
      </c>
      <c r="G1183" s="137"/>
      <c r="H1183" s="67"/>
      <c r="I1183" s="138"/>
      <c r="J1183" s="72">
        <v>1695</v>
      </c>
      <c r="K1183" s="126" t="s">
        <v>17</v>
      </c>
      <c r="L1183" s="73"/>
      <c r="M1183" s="11" t="s">
        <v>18</v>
      </c>
    </row>
    <row r="1184" spans="2:13" ht="15" customHeight="1" x14ac:dyDescent="0.25">
      <c r="B1184" s="8" t="s">
        <v>3275</v>
      </c>
      <c r="C1184" s="128">
        <v>45638</v>
      </c>
      <c r="D1184" s="10" t="s">
        <v>3276</v>
      </c>
      <c r="E1184" s="67"/>
      <c r="F1184" t="s">
        <v>3277</v>
      </c>
      <c r="G1184" s="98"/>
      <c r="H1184" s="67"/>
      <c r="I1184" s="71"/>
      <c r="J1184" s="139">
        <v>1025</v>
      </c>
      <c r="K1184" s="88" t="s">
        <v>17</v>
      </c>
      <c r="L1184" s="73"/>
      <c r="M1184" s="11" t="s">
        <v>31</v>
      </c>
    </row>
    <row r="1185" spans="2:13" ht="15" customHeight="1" x14ac:dyDescent="0.25">
      <c r="B1185" s="11" t="s">
        <v>3278</v>
      </c>
      <c r="C1185" s="105">
        <v>45637</v>
      </c>
      <c r="D1185" s="12" t="s">
        <v>3279</v>
      </c>
      <c r="E1185" s="67"/>
      <c r="F1185" s="12" t="s">
        <v>3274</v>
      </c>
      <c r="G1185" s="98"/>
      <c r="H1185" s="67"/>
      <c r="I1185" s="71"/>
      <c r="J1185" s="72">
        <v>3390</v>
      </c>
      <c r="K1185" s="88" t="s">
        <v>17</v>
      </c>
      <c r="L1185" s="73"/>
      <c r="M1185" s="11" t="s">
        <v>18</v>
      </c>
    </row>
    <row r="1186" spans="2:13" ht="15" customHeight="1" x14ac:dyDescent="0.25">
      <c r="B1186" s="11" t="s">
        <v>3280</v>
      </c>
      <c r="C1186" s="105">
        <v>45637</v>
      </c>
      <c r="D1186" s="12" t="s">
        <v>1060</v>
      </c>
      <c r="E1186" s="67"/>
      <c r="F1186" s="12" t="s">
        <v>3281</v>
      </c>
      <c r="G1186" s="98"/>
      <c r="H1186" s="67"/>
      <c r="I1186" s="71"/>
      <c r="J1186" s="72">
        <v>175</v>
      </c>
      <c r="K1186" s="88" t="s">
        <v>17</v>
      </c>
      <c r="L1186" s="73"/>
      <c r="M1186" s="11" t="s">
        <v>31</v>
      </c>
    </row>
    <row r="1187" spans="2:13" ht="15" customHeight="1" x14ac:dyDescent="0.25">
      <c r="B1187" s="11" t="s">
        <v>3282</v>
      </c>
      <c r="C1187" s="105">
        <v>45637</v>
      </c>
      <c r="D1187" s="12" t="s">
        <v>525</v>
      </c>
      <c r="E1187" s="67"/>
      <c r="F1187" s="12" t="s">
        <v>3283</v>
      </c>
      <c r="G1187" s="98"/>
      <c r="H1187" s="67"/>
      <c r="I1187" s="71"/>
      <c r="J1187" s="72">
        <v>2785</v>
      </c>
      <c r="K1187" s="88" t="s">
        <v>17</v>
      </c>
      <c r="L1187" s="73"/>
      <c r="M1187" s="11" t="s">
        <v>18</v>
      </c>
    </row>
    <row r="1188" spans="2:13" ht="15" customHeight="1" x14ac:dyDescent="0.25">
      <c r="B1188" s="73" t="s">
        <v>3284</v>
      </c>
      <c r="C1188" s="105">
        <v>45637</v>
      </c>
      <c r="D1188" s="12" t="s">
        <v>3285</v>
      </c>
      <c r="E1188" s="67"/>
      <c r="F1188" s="12" t="s">
        <v>3286</v>
      </c>
      <c r="G1188" s="98"/>
      <c r="H1188" s="67"/>
      <c r="I1188" s="71"/>
      <c r="J1188" s="72">
        <v>3140</v>
      </c>
      <c r="K1188" s="88" t="s">
        <v>17</v>
      </c>
      <c r="L1188" s="73"/>
      <c r="M1188" s="11" t="s">
        <v>31</v>
      </c>
    </row>
    <row r="1189" spans="2:13" ht="15" customHeight="1" x14ac:dyDescent="0.25">
      <c r="B1189" s="73" t="s">
        <v>3287</v>
      </c>
      <c r="C1189" s="105">
        <v>45638</v>
      </c>
      <c r="D1189" s="12" t="s">
        <v>3022</v>
      </c>
      <c r="E1189" s="67"/>
      <c r="F1189" s="12" t="s">
        <v>780</v>
      </c>
      <c r="G1189" s="98"/>
      <c r="H1189" s="67"/>
      <c r="I1189" s="71"/>
      <c r="J1189" s="72">
        <v>2625</v>
      </c>
      <c r="K1189" s="88" t="s">
        <v>3261</v>
      </c>
      <c r="L1189" s="73"/>
      <c r="M1189" s="11" t="s">
        <v>18</v>
      </c>
    </row>
    <row r="1190" spans="2:13" ht="15" customHeight="1" x14ac:dyDescent="0.25">
      <c r="B1190" s="73" t="s">
        <v>3288</v>
      </c>
      <c r="C1190" s="105">
        <v>45638</v>
      </c>
      <c r="D1190" s="12" t="s">
        <v>2972</v>
      </c>
      <c r="E1190" s="67"/>
      <c r="F1190" s="12" t="s">
        <v>3289</v>
      </c>
      <c r="G1190" s="98"/>
      <c r="H1190" s="67"/>
      <c r="I1190" s="71"/>
      <c r="J1190" s="72">
        <v>510</v>
      </c>
      <c r="K1190" s="88" t="s">
        <v>1874</v>
      </c>
      <c r="L1190" s="73"/>
      <c r="M1190" s="11" t="s">
        <v>31</v>
      </c>
    </row>
    <row r="1191" spans="2:13" ht="15" customHeight="1" x14ac:dyDescent="0.25">
      <c r="B1191" s="73" t="s">
        <v>3290</v>
      </c>
      <c r="C1191" s="105">
        <v>45638</v>
      </c>
      <c r="D1191" s="12" t="s">
        <v>3291</v>
      </c>
      <c r="E1191" s="67"/>
      <c r="F1191" s="12" t="s">
        <v>3292</v>
      </c>
      <c r="G1191" s="98"/>
      <c r="H1191" s="67"/>
      <c r="I1191" s="71"/>
      <c r="J1191" s="72">
        <v>3637.5</v>
      </c>
      <c r="K1191" s="88" t="s">
        <v>17</v>
      </c>
      <c r="L1191" s="73"/>
      <c r="M1191" s="11" t="s">
        <v>18</v>
      </c>
    </row>
    <row r="1192" spans="2:13" ht="15" customHeight="1" x14ac:dyDescent="0.25">
      <c r="B1192" s="73" t="s">
        <v>3293</v>
      </c>
      <c r="C1192" s="105">
        <v>45638</v>
      </c>
      <c r="D1192" s="12" t="s">
        <v>1445</v>
      </c>
      <c r="E1192" s="67"/>
      <c r="F1192" s="12" t="s">
        <v>3294</v>
      </c>
      <c r="G1192" s="98"/>
      <c r="H1192" s="67"/>
      <c r="I1192" s="71"/>
      <c r="J1192" s="72">
        <v>3135</v>
      </c>
      <c r="K1192" s="88" t="s">
        <v>17</v>
      </c>
      <c r="L1192" s="73"/>
      <c r="M1192" s="11" t="s">
        <v>31</v>
      </c>
    </row>
    <row r="1193" spans="2:13" ht="15" customHeight="1" x14ac:dyDescent="0.25">
      <c r="B1193" s="73" t="s">
        <v>3295</v>
      </c>
      <c r="C1193" s="105">
        <v>45643</v>
      </c>
      <c r="D1193" s="12" t="s">
        <v>564</v>
      </c>
      <c r="E1193" s="67"/>
      <c r="F1193" s="12" t="s">
        <v>3296</v>
      </c>
      <c r="G1193" s="98"/>
      <c r="H1193" s="67"/>
      <c r="I1193" s="71"/>
      <c r="J1193" s="72">
        <v>9405</v>
      </c>
      <c r="K1193" s="88" t="s">
        <v>17</v>
      </c>
      <c r="L1193" s="73"/>
      <c r="M1193" s="11" t="s">
        <v>31</v>
      </c>
    </row>
    <row r="1194" spans="2:13" ht="15" customHeight="1" x14ac:dyDescent="0.25">
      <c r="B1194" s="73" t="s">
        <v>3297</v>
      </c>
      <c r="C1194" s="105">
        <v>45638</v>
      </c>
      <c r="D1194" s="12" t="s">
        <v>3298</v>
      </c>
      <c r="E1194" s="67"/>
      <c r="F1194" s="12" t="s">
        <v>3299</v>
      </c>
      <c r="G1194" s="98"/>
      <c r="H1194" s="67"/>
      <c r="I1194" s="71"/>
      <c r="J1194" s="72">
        <v>437.5</v>
      </c>
      <c r="K1194" s="88" t="s">
        <v>17</v>
      </c>
      <c r="L1194" s="73"/>
      <c r="M1194" s="11" t="s">
        <v>18</v>
      </c>
    </row>
    <row r="1195" spans="2:13" ht="15" customHeight="1" x14ac:dyDescent="0.25">
      <c r="B1195" s="73" t="s">
        <v>3300</v>
      </c>
      <c r="C1195" s="105">
        <v>45639</v>
      </c>
      <c r="D1195" s="12" t="s">
        <v>1060</v>
      </c>
      <c r="E1195" s="136"/>
      <c r="F1195" s="12" t="s">
        <v>3301</v>
      </c>
      <c r="G1195" s="137"/>
      <c r="H1195" s="67"/>
      <c r="I1195" s="138"/>
      <c r="J1195" s="72">
        <v>89.4</v>
      </c>
      <c r="K1195" s="126" t="s">
        <v>17</v>
      </c>
      <c r="L1195" s="73"/>
      <c r="M1195" s="11" t="s">
        <v>31</v>
      </c>
    </row>
    <row r="1196" spans="2:13" ht="15" customHeight="1" x14ac:dyDescent="0.25">
      <c r="B1196" s="146" t="s">
        <v>3302</v>
      </c>
      <c r="C1196" s="128">
        <v>45639</v>
      </c>
      <c r="D1196" s="10" t="s">
        <v>241</v>
      </c>
      <c r="E1196" s="67"/>
      <c r="F1196" s="10" t="s">
        <v>3303</v>
      </c>
      <c r="G1196" s="98"/>
      <c r="H1196" s="67"/>
      <c r="I1196" s="71"/>
      <c r="J1196" s="139">
        <v>630</v>
      </c>
      <c r="K1196" s="88" t="s">
        <v>17</v>
      </c>
      <c r="L1196" s="73"/>
      <c r="M1196" s="11" t="s">
        <v>31</v>
      </c>
    </row>
    <row r="1197" spans="2:13" ht="15" customHeight="1" x14ac:dyDescent="0.25">
      <c r="B1197" s="73" t="s">
        <v>3304</v>
      </c>
      <c r="C1197" s="105">
        <v>45639</v>
      </c>
      <c r="D1197" s="12" t="s">
        <v>211</v>
      </c>
      <c r="E1197" s="67"/>
      <c r="F1197" s="12" t="s">
        <v>3305</v>
      </c>
      <c r="G1197" s="98"/>
      <c r="H1197" s="67"/>
      <c r="I1197" s="71"/>
      <c r="J1197" s="72">
        <v>10000</v>
      </c>
      <c r="K1197" s="88" t="s">
        <v>17</v>
      </c>
      <c r="L1197" s="73"/>
      <c r="M1197" s="11" t="s">
        <v>31</v>
      </c>
    </row>
    <row r="1198" spans="2:13" ht="15" customHeight="1" x14ac:dyDescent="0.25">
      <c r="B1198" s="73" t="s">
        <v>3306</v>
      </c>
      <c r="C1198" s="105">
        <v>45639</v>
      </c>
      <c r="D1198" s="12" t="s">
        <v>3307</v>
      </c>
      <c r="E1198" s="67"/>
      <c r="F1198" s="12" t="s">
        <v>3305</v>
      </c>
      <c r="G1198" s="98"/>
      <c r="H1198" s="67"/>
      <c r="I1198" s="71"/>
      <c r="J1198" s="72">
        <v>7500</v>
      </c>
      <c r="K1198" s="88" t="s">
        <v>17</v>
      </c>
      <c r="L1198" s="73"/>
      <c r="M1198" s="11" t="s">
        <v>31</v>
      </c>
    </row>
    <row r="1199" spans="2:13" ht="15" customHeight="1" x14ac:dyDescent="0.25">
      <c r="B1199" s="73" t="s">
        <v>3308</v>
      </c>
      <c r="C1199" s="105">
        <v>45640</v>
      </c>
      <c r="D1199" s="12" t="s">
        <v>3309</v>
      </c>
      <c r="E1199" s="67"/>
      <c r="F1199" s="12" t="s">
        <v>3283</v>
      </c>
      <c r="G1199" s="98"/>
      <c r="H1199" s="67"/>
      <c r="I1199" s="71"/>
      <c r="J1199" s="72">
        <v>1025</v>
      </c>
      <c r="K1199" s="88" t="s">
        <v>3261</v>
      </c>
      <c r="L1199" s="73"/>
      <c r="M1199" s="11" t="s">
        <v>31</v>
      </c>
    </row>
    <row r="1200" spans="2:13" ht="15" customHeight="1" x14ac:dyDescent="0.25">
      <c r="B1200" s="73" t="s">
        <v>3310</v>
      </c>
      <c r="C1200" s="105">
        <v>45640</v>
      </c>
      <c r="D1200" s="12" t="s">
        <v>27</v>
      </c>
      <c r="E1200" s="67"/>
      <c r="F1200" s="12" t="s">
        <v>3311</v>
      </c>
      <c r="G1200" s="98"/>
      <c r="H1200" s="67"/>
      <c r="I1200" s="71"/>
      <c r="J1200" s="72">
        <v>325</v>
      </c>
      <c r="K1200" s="88" t="s">
        <v>17</v>
      </c>
      <c r="L1200" s="73"/>
      <c r="M1200" s="11" t="s">
        <v>31</v>
      </c>
    </row>
    <row r="1201" spans="2:13" ht="15" customHeight="1" x14ac:dyDescent="0.25">
      <c r="B1201" s="73" t="s">
        <v>3312</v>
      </c>
      <c r="C1201" s="105">
        <v>45642</v>
      </c>
      <c r="D1201" s="12" t="s">
        <v>1060</v>
      </c>
      <c r="E1201" s="67"/>
      <c r="F1201" s="12" t="s">
        <v>3313</v>
      </c>
      <c r="G1201" s="98"/>
      <c r="H1201" s="67"/>
      <c r="I1201" s="71"/>
      <c r="J1201" s="72">
        <v>229.35</v>
      </c>
      <c r="K1201" s="88" t="s">
        <v>17</v>
      </c>
      <c r="L1201" s="73"/>
      <c r="M1201" s="11" t="s">
        <v>31</v>
      </c>
    </row>
    <row r="1202" spans="2:13" ht="15" customHeight="1" x14ac:dyDescent="0.25">
      <c r="B1202" s="73" t="s">
        <v>3314</v>
      </c>
      <c r="C1202" s="105">
        <v>45642</v>
      </c>
      <c r="D1202" s="12" t="s">
        <v>3315</v>
      </c>
      <c r="E1202" s="67"/>
      <c r="F1202" s="12" t="s">
        <v>3316</v>
      </c>
      <c r="G1202" s="98"/>
      <c r="H1202" s="67"/>
      <c r="I1202" s="71"/>
      <c r="J1202" s="72">
        <v>14875</v>
      </c>
      <c r="K1202" s="88" t="s">
        <v>3261</v>
      </c>
      <c r="L1202" s="73"/>
      <c r="M1202" s="11" t="s">
        <v>18</v>
      </c>
    </row>
    <row r="1203" spans="2:13" ht="15" customHeight="1" x14ac:dyDescent="0.25">
      <c r="B1203" s="73" t="s">
        <v>3317</v>
      </c>
      <c r="C1203" s="105">
        <v>45642</v>
      </c>
      <c r="D1203" s="12" t="s">
        <v>3176</v>
      </c>
      <c r="E1203" s="136"/>
      <c r="F1203" s="12" t="s">
        <v>3318</v>
      </c>
      <c r="G1203" s="137"/>
      <c r="H1203" s="67"/>
      <c r="I1203" s="138"/>
      <c r="J1203" s="72">
        <v>4875</v>
      </c>
      <c r="K1203" s="126" t="s">
        <v>17</v>
      </c>
      <c r="L1203" s="73"/>
      <c r="M1203" s="11" t="s">
        <v>18</v>
      </c>
    </row>
    <row r="1204" spans="2:13" ht="15" customHeight="1" x14ac:dyDescent="0.25">
      <c r="B1204" s="146" t="s">
        <v>3319</v>
      </c>
      <c r="C1204" s="128">
        <v>45643</v>
      </c>
      <c r="D1204" s="10" t="s">
        <v>1945</v>
      </c>
      <c r="E1204" s="67"/>
      <c r="F1204" s="10" t="s">
        <v>3320</v>
      </c>
      <c r="G1204" s="98"/>
      <c r="H1204" s="67"/>
      <c r="I1204" s="71"/>
      <c r="J1204" s="139">
        <v>2151</v>
      </c>
      <c r="K1204" s="88" t="s">
        <v>17</v>
      </c>
      <c r="L1204" s="73"/>
      <c r="M1204" s="11" t="s">
        <v>18</v>
      </c>
    </row>
    <row r="1205" spans="2:13" ht="15" customHeight="1" x14ac:dyDescent="0.25">
      <c r="B1205" s="73" t="s">
        <v>3321</v>
      </c>
      <c r="C1205" s="105">
        <v>45643</v>
      </c>
      <c r="D1205" s="12" t="s">
        <v>1167</v>
      </c>
      <c r="E1205" s="67"/>
      <c r="F1205" s="12" t="s">
        <v>3322</v>
      </c>
      <c r="G1205" s="98"/>
      <c r="H1205" s="67"/>
      <c r="I1205" s="71"/>
      <c r="J1205" s="72">
        <v>788</v>
      </c>
      <c r="K1205" s="88" t="s">
        <v>17</v>
      </c>
      <c r="L1205" s="73"/>
      <c r="M1205" s="11" t="s">
        <v>18</v>
      </c>
    </row>
    <row r="1206" spans="2:13" ht="15" customHeight="1" x14ac:dyDescent="0.25">
      <c r="B1206" s="73" t="s">
        <v>3323</v>
      </c>
      <c r="C1206" s="105">
        <v>45644</v>
      </c>
      <c r="D1206" s="12" t="s">
        <v>3324</v>
      </c>
      <c r="E1206" s="67"/>
      <c r="F1206" s="12" t="s">
        <v>3325</v>
      </c>
      <c r="G1206" s="98"/>
      <c r="H1206" s="67"/>
      <c r="I1206" s="71"/>
      <c r="J1206" s="72">
        <v>765</v>
      </c>
      <c r="K1206" s="88" t="s">
        <v>17</v>
      </c>
      <c r="L1206" s="73"/>
      <c r="M1206" s="11" t="s">
        <v>18</v>
      </c>
    </row>
    <row r="1207" spans="2:13" ht="15" customHeight="1" x14ac:dyDescent="0.25">
      <c r="B1207" s="73" t="s">
        <v>3326</v>
      </c>
      <c r="C1207" s="105">
        <v>45643</v>
      </c>
      <c r="D1207" s="12" t="s">
        <v>642</v>
      </c>
      <c r="E1207" s="67"/>
      <c r="F1207" s="12" t="s">
        <v>3327</v>
      </c>
      <c r="G1207" s="98"/>
      <c r="H1207" s="67"/>
      <c r="I1207" s="71"/>
      <c r="J1207" s="72">
        <v>2735</v>
      </c>
      <c r="K1207" s="88" t="s">
        <v>17</v>
      </c>
      <c r="L1207" s="73"/>
      <c r="M1207" s="11" t="s">
        <v>31</v>
      </c>
    </row>
    <row r="1208" spans="2:13" ht="15" customHeight="1" x14ac:dyDescent="0.25">
      <c r="B1208" s="73" t="s">
        <v>3328</v>
      </c>
      <c r="C1208" s="105">
        <v>45780</v>
      </c>
      <c r="D1208" s="12" t="s">
        <v>2794</v>
      </c>
      <c r="E1208" s="67"/>
      <c r="F1208" s="12" t="s">
        <v>3329</v>
      </c>
      <c r="G1208" s="98"/>
      <c r="H1208" s="67"/>
      <c r="I1208" s="71"/>
      <c r="J1208" s="72">
        <v>274.5</v>
      </c>
      <c r="K1208" s="88" t="s">
        <v>17</v>
      </c>
      <c r="L1208" s="73"/>
      <c r="M1208" s="11" t="s">
        <v>31</v>
      </c>
    </row>
    <row r="1209" spans="2:13" ht="15" customHeight="1" x14ac:dyDescent="0.25">
      <c r="B1209" s="73" t="s">
        <v>3330</v>
      </c>
      <c r="C1209" s="105">
        <v>45644</v>
      </c>
      <c r="D1209" s="12" t="s">
        <v>27</v>
      </c>
      <c r="E1209" s="67"/>
      <c r="F1209" s="12" t="s">
        <v>3331</v>
      </c>
      <c r="G1209" s="98"/>
      <c r="H1209" s="67"/>
      <c r="I1209" s="71"/>
      <c r="J1209" s="72">
        <v>411</v>
      </c>
      <c r="K1209" s="88" t="s">
        <v>17</v>
      </c>
      <c r="L1209" s="73"/>
      <c r="M1209" s="11" t="s">
        <v>31</v>
      </c>
    </row>
    <row r="1210" spans="2:13" ht="15" customHeight="1" x14ac:dyDescent="0.25">
      <c r="B1210" s="73" t="s">
        <v>3332</v>
      </c>
      <c r="C1210" s="105">
        <v>45644</v>
      </c>
      <c r="D1210" s="12" t="s">
        <v>1060</v>
      </c>
      <c r="E1210" s="67"/>
      <c r="F1210" s="12" t="s">
        <v>1146</v>
      </c>
      <c r="G1210" s="98"/>
      <c r="H1210" s="67"/>
      <c r="I1210" s="71"/>
      <c r="J1210" s="72">
        <v>38.5</v>
      </c>
      <c r="K1210" s="88" t="s">
        <v>17</v>
      </c>
      <c r="L1210" s="73"/>
      <c r="M1210" s="11" t="s">
        <v>31</v>
      </c>
    </row>
    <row r="1211" spans="2:13" ht="15" customHeight="1" x14ac:dyDescent="0.25">
      <c r="B1211" s="73" t="s">
        <v>3333</v>
      </c>
      <c r="C1211" s="105">
        <v>45644</v>
      </c>
      <c r="D1211" s="12" t="s">
        <v>3334</v>
      </c>
      <c r="E1211" s="67"/>
      <c r="F1211" s="12" t="s">
        <v>3335</v>
      </c>
      <c r="G1211" s="98"/>
      <c r="H1211" s="67"/>
      <c r="I1211" s="71"/>
      <c r="J1211" s="72">
        <v>2800</v>
      </c>
      <c r="K1211" s="88" t="s">
        <v>17</v>
      </c>
      <c r="L1211" s="73"/>
      <c r="M1211" s="11" t="s">
        <v>18</v>
      </c>
    </row>
    <row r="1212" spans="2:13" ht="15" customHeight="1" x14ac:dyDescent="0.25">
      <c r="B1212" s="73" t="s">
        <v>3336</v>
      </c>
      <c r="C1212" s="105">
        <v>45645</v>
      </c>
      <c r="D1212" s="12" t="s">
        <v>1060</v>
      </c>
      <c r="E1212" s="67"/>
      <c r="F1212" s="12" t="s">
        <v>3337</v>
      </c>
      <c r="G1212" s="98"/>
      <c r="H1212" s="67"/>
      <c r="I1212" s="71"/>
      <c r="J1212" s="72">
        <v>160</v>
      </c>
      <c r="K1212" s="88" t="s">
        <v>17</v>
      </c>
      <c r="L1212" s="73"/>
      <c r="M1212" s="11" t="s">
        <v>31</v>
      </c>
    </row>
    <row r="1213" spans="2:13" ht="15" customHeight="1" x14ac:dyDescent="0.25">
      <c r="B1213" s="73" t="s">
        <v>3338</v>
      </c>
      <c r="C1213" s="105">
        <v>45678</v>
      </c>
      <c r="D1213" s="12" t="s">
        <v>463</v>
      </c>
      <c r="E1213" s="67"/>
      <c r="F1213" s="12" t="s">
        <v>932</v>
      </c>
      <c r="G1213" s="98"/>
      <c r="H1213" s="67"/>
      <c r="I1213" s="71"/>
      <c r="J1213" s="72">
        <v>470</v>
      </c>
      <c r="K1213" s="88" t="s">
        <v>17</v>
      </c>
      <c r="L1213" s="73"/>
      <c r="M1213" s="11" t="s">
        <v>31</v>
      </c>
    </row>
    <row r="1214" spans="2:13" ht="15" customHeight="1" x14ac:dyDescent="0.25">
      <c r="B1214" s="73" t="s">
        <v>3339</v>
      </c>
      <c r="C1214" s="105">
        <v>45646</v>
      </c>
      <c r="D1214" s="12" t="s">
        <v>154</v>
      </c>
      <c r="E1214" s="136"/>
      <c r="F1214" s="12" t="s">
        <v>3340</v>
      </c>
      <c r="G1214" s="137"/>
      <c r="H1214" s="67"/>
      <c r="I1214" s="138"/>
      <c r="J1214" s="72">
        <v>6987.5</v>
      </c>
      <c r="K1214" s="126" t="s">
        <v>3261</v>
      </c>
      <c r="L1214" s="73"/>
      <c r="M1214" s="11" t="s">
        <v>3341</v>
      </c>
    </row>
    <row r="1215" spans="2:13" ht="15" customHeight="1" x14ac:dyDescent="0.25">
      <c r="B1215" s="146" t="s">
        <v>3342</v>
      </c>
      <c r="C1215" s="128">
        <v>45647</v>
      </c>
      <c r="D1215" s="10" t="s">
        <v>27</v>
      </c>
      <c r="E1215" s="67"/>
      <c r="F1215" s="10" t="s">
        <v>3343</v>
      </c>
      <c r="G1215" s="98"/>
      <c r="H1215" s="67"/>
      <c r="I1215" s="71"/>
      <c r="J1215" s="139">
        <v>1230</v>
      </c>
      <c r="K1215" s="88" t="s">
        <v>17</v>
      </c>
      <c r="L1215" s="73"/>
      <c r="M1215" s="11" t="s">
        <v>31</v>
      </c>
    </row>
    <row r="1216" spans="2:13" ht="15" customHeight="1" x14ac:dyDescent="0.25">
      <c r="B1216" s="73" t="s">
        <v>3344</v>
      </c>
      <c r="C1216" s="105">
        <v>45649</v>
      </c>
      <c r="D1216" s="12" t="s">
        <v>1907</v>
      </c>
      <c r="E1216" s="136"/>
      <c r="F1216" s="12" t="s">
        <v>3345</v>
      </c>
      <c r="G1216" s="137"/>
      <c r="H1216" s="67"/>
      <c r="I1216" s="138"/>
      <c r="J1216" s="72">
        <v>6435</v>
      </c>
      <c r="K1216" s="126" t="s">
        <v>17</v>
      </c>
      <c r="L1216" s="73"/>
      <c r="M1216" s="11" t="s">
        <v>18</v>
      </c>
    </row>
    <row r="1217" spans="2:13" ht="15" customHeight="1" x14ac:dyDescent="0.25">
      <c r="B1217" s="146" t="s">
        <v>3346</v>
      </c>
      <c r="C1217" s="128">
        <v>45652</v>
      </c>
      <c r="D1217" s="10" t="s">
        <v>642</v>
      </c>
      <c r="E1217" s="67"/>
      <c r="F1217" s="10" t="s">
        <v>3347</v>
      </c>
      <c r="G1217" s="98"/>
      <c r="H1217" s="67"/>
      <c r="I1217" s="71"/>
      <c r="J1217" s="139">
        <v>2160</v>
      </c>
      <c r="K1217" s="88" t="s">
        <v>17</v>
      </c>
      <c r="L1217" s="73"/>
      <c r="M1217" s="11" t="s">
        <v>31</v>
      </c>
    </row>
    <row r="1218" spans="2:13" ht="15" customHeight="1" x14ac:dyDescent="0.25">
      <c r="B1218" s="11" t="s">
        <v>3348</v>
      </c>
      <c r="C1218" s="105">
        <v>45650</v>
      </c>
      <c r="D1218" s="12" t="s">
        <v>630</v>
      </c>
      <c r="E1218" s="67"/>
      <c r="F1218" s="12" t="s">
        <v>3349</v>
      </c>
      <c r="G1218" s="98"/>
      <c r="H1218" s="67"/>
      <c r="I1218" s="71"/>
      <c r="J1218" s="72">
        <v>2332.0500000000002</v>
      </c>
      <c r="K1218" s="88" t="s">
        <v>17</v>
      </c>
      <c r="L1218" s="73"/>
      <c r="M1218" s="11" t="s">
        <v>31</v>
      </c>
    </row>
    <row r="1219" spans="2:13" ht="15" customHeight="1" x14ac:dyDescent="0.25">
      <c r="B1219" s="11" t="s">
        <v>3350</v>
      </c>
      <c r="C1219" s="105">
        <v>45650</v>
      </c>
      <c r="D1219" s="12" t="s">
        <v>3351</v>
      </c>
      <c r="E1219" s="136"/>
      <c r="F1219" s="12" t="s">
        <v>3352</v>
      </c>
      <c r="G1219" s="137"/>
      <c r="H1219" s="67"/>
      <c r="I1219" s="138"/>
      <c r="J1219" s="72">
        <v>2306</v>
      </c>
      <c r="K1219" s="88" t="s">
        <v>3239</v>
      </c>
      <c r="L1219" s="73"/>
      <c r="M1219" s="11" t="s">
        <v>18</v>
      </c>
    </row>
    <row r="1220" spans="2:13" ht="15" customHeight="1" x14ac:dyDescent="0.25">
      <c r="B1220" s="8" t="s">
        <v>3353</v>
      </c>
      <c r="C1220" s="128">
        <v>45652</v>
      </c>
      <c r="D1220" s="10" t="s">
        <v>27</v>
      </c>
      <c r="E1220" s="67"/>
      <c r="F1220" s="10" t="s">
        <v>3354</v>
      </c>
      <c r="G1220" s="98"/>
      <c r="H1220" s="67"/>
      <c r="I1220" s="71"/>
      <c r="J1220" s="139">
        <v>9036</v>
      </c>
      <c r="K1220" s="88" t="s">
        <v>17</v>
      </c>
      <c r="L1220" s="73"/>
      <c r="M1220" s="11" t="s">
        <v>31</v>
      </c>
    </row>
    <row r="1221" spans="2:13" ht="15" customHeight="1" x14ac:dyDescent="0.25">
      <c r="B1221" s="11" t="s">
        <v>3355</v>
      </c>
      <c r="C1221" s="105">
        <v>45652</v>
      </c>
      <c r="D1221" s="12" t="s">
        <v>3356</v>
      </c>
      <c r="E1221" s="136"/>
      <c r="F1221" s="12" t="s">
        <v>3357</v>
      </c>
      <c r="G1221" s="137"/>
      <c r="H1221" s="67"/>
      <c r="I1221" s="138"/>
      <c r="J1221" s="72">
        <v>7137.5</v>
      </c>
      <c r="K1221" s="126" t="s">
        <v>1874</v>
      </c>
      <c r="L1221" s="73"/>
      <c r="M1221" s="11" t="s">
        <v>18</v>
      </c>
    </row>
    <row r="1222" spans="2:13" ht="15" customHeight="1" x14ac:dyDescent="0.25">
      <c r="B1222" s="8" t="s">
        <v>3358</v>
      </c>
      <c r="C1222" s="128">
        <v>45652</v>
      </c>
      <c r="D1222" s="10" t="s">
        <v>3359</v>
      </c>
      <c r="E1222" s="67"/>
      <c r="F1222" s="10" t="s">
        <v>1374</v>
      </c>
      <c r="G1222" s="98"/>
      <c r="H1222" s="67"/>
      <c r="I1222" s="71"/>
      <c r="J1222" s="139">
        <v>6735</v>
      </c>
      <c r="K1222" s="88" t="s">
        <v>17</v>
      </c>
      <c r="L1222" s="73"/>
      <c r="M1222" s="11" t="s">
        <v>31</v>
      </c>
    </row>
    <row r="1223" spans="2:13" ht="15" customHeight="1" x14ac:dyDescent="0.25">
      <c r="B1223" s="11" t="s">
        <v>3360</v>
      </c>
      <c r="C1223" s="105">
        <v>45653</v>
      </c>
      <c r="D1223" s="12" t="s">
        <v>241</v>
      </c>
      <c r="E1223" s="67"/>
      <c r="F1223" s="12" t="s">
        <v>3361</v>
      </c>
      <c r="G1223" s="98"/>
      <c r="H1223" s="67"/>
      <c r="I1223" s="71"/>
      <c r="J1223" s="72">
        <v>168</v>
      </c>
      <c r="K1223" s="88" t="s">
        <v>17</v>
      </c>
      <c r="L1223" s="73"/>
      <c r="M1223" s="11" t="s">
        <v>31</v>
      </c>
    </row>
    <row r="1224" spans="2:13" ht="15" customHeight="1" x14ac:dyDescent="0.25">
      <c r="B1224" s="11" t="s">
        <v>3362</v>
      </c>
      <c r="C1224" s="105">
        <v>45653</v>
      </c>
      <c r="D1224" s="12" t="s">
        <v>3157</v>
      </c>
      <c r="E1224" s="136"/>
      <c r="F1224" s="12" t="s">
        <v>3363</v>
      </c>
      <c r="G1224" s="137"/>
      <c r="H1224" s="67"/>
      <c r="I1224" s="138"/>
      <c r="J1224" s="72">
        <v>1650</v>
      </c>
      <c r="K1224" s="88" t="s">
        <v>3239</v>
      </c>
      <c r="L1224" s="73"/>
      <c r="M1224" s="11" t="s">
        <v>18</v>
      </c>
    </row>
    <row r="1225" spans="2:13" x14ac:dyDescent="0.25">
      <c r="B1225" s="8" t="s">
        <v>3364</v>
      </c>
      <c r="C1225" s="128">
        <v>45654</v>
      </c>
      <c r="D1225" s="10" t="s">
        <v>1060</v>
      </c>
      <c r="E1225" s="67"/>
      <c r="F1225" s="10" t="s">
        <v>3365</v>
      </c>
      <c r="G1225" s="98"/>
      <c r="H1225" s="67"/>
      <c r="I1225" s="71"/>
      <c r="J1225" s="139">
        <v>689</v>
      </c>
      <c r="K1225" s="88" t="s">
        <v>17</v>
      </c>
      <c r="L1225" s="73"/>
      <c r="M1225" s="11" t="s">
        <v>31</v>
      </c>
    </row>
    <row r="1226" spans="2:13" ht="15" customHeight="1" x14ac:dyDescent="0.25">
      <c r="B1226" s="11" t="s">
        <v>3366</v>
      </c>
      <c r="C1226" s="105">
        <v>45657</v>
      </c>
      <c r="D1226" s="12" t="s">
        <v>3367</v>
      </c>
      <c r="E1226" s="136"/>
      <c r="F1226" s="12" t="s">
        <v>3368</v>
      </c>
      <c r="G1226" s="137"/>
      <c r="H1226" s="67"/>
      <c r="I1226" s="138"/>
      <c r="J1226" s="72">
        <v>1475</v>
      </c>
      <c r="K1226" s="126" t="s">
        <v>17</v>
      </c>
      <c r="L1226" s="73"/>
      <c r="M1226" s="11" t="s">
        <v>18</v>
      </c>
    </row>
    <row r="1227" spans="2:13" ht="15" customHeight="1" x14ac:dyDescent="0.25">
      <c r="B1227" s="11" t="s">
        <v>3369</v>
      </c>
      <c r="C1227" s="105">
        <v>45657</v>
      </c>
      <c r="D1227" s="12" t="s">
        <v>27</v>
      </c>
      <c r="E1227" s="136"/>
      <c r="F1227" s="12" t="s">
        <v>3370</v>
      </c>
      <c r="G1227" s="137"/>
      <c r="H1227" s="67"/>
      <c r="I1227" s="138"/>
      <c r="J1227" s="72">
        <v>2250</v>
      </c>
      <c r="K1227" s="126" t="s">
        <v>17</v>
      </c>
      <c r="L1227" s="73"/>
      <c r="M1227" s="11" t="s">
        <v>31</v>
      </c>
    </row>
    <row r="1228" spans="2:13" ht="15" customHeight="1" x14ac:dyDescent="0.25">
      <c r="B1228" s="8" t="s">
        <v>3371</v>
      </c>
      <c r="C1228" s="128">
        <v>45657</v>
      </c>
      <c r="D1228" s="10" t="s">
        <v>3157</v>
      </c>
      <c r="E1228" s="67"/>
      <c r="F1228" s="10" t="s">
        <v>3372</v>
      </c>
      <c r="G1228" s="98"/>
      <c r="H1228" s="67"/>
      <c r="I1228" s="71"/>
      <c r="J1228" s="139">
        <v>3452.5</v>
      </c>
      <c r="K1228" s="88" t="s">
        <v>17</v>
      </c>
      <c r="L1228" s="73"/>
      <c r="M1228" s="11" t="s">
        <v>31</v>
      </c>
    </row>
    <row r="1229" spans="2:13" ht="15" customHeight="1" x14ac:dyDescent="0.25">
      <c r="B1229" s="11" t="s">
        <v>3373</v>
      </c>
      <c r="C1229" s="105">
        <v>45657</v>
      </c>
      <c r="D1229" s="12" t="s">
        <v>3367</v>
      </c>
      <c r="E1229" s="136"/>
      <c r="F1229" s="12" t="s">
        <v>3374</v>
      </c>
      <c r="G1229" s="137"/>
      <c r="H1229" s="67"/>
      <c r="I1229" s="138"/>
      <c r="J1229" s="72">
        <v>510</v>
      </c>
      <c r="K1229" s="126" t="s">
        <v>17</v>
      </c>
      <c r="L1229" s="73"/>
      <c r="M1229" s="11" t="s">
        <v>18</v>
      </c>
    </row>
    <row r="1230" spans="2:13" ht="15" customHeight="1" x14ac:dyDescent="0.25">
      <c r="B1230" s="8" t="s">
        <v>3375</v>
      </c>
      <c r="C1230" s="128">
        <v>45659</v>
      </c>
      <c r="D1230" t="s">
        <v>1188</v>
      </c>
      <c r="E1230" s="67"/>
      <c r="F1230" t="s">
        <v>3043</v>
      </c>
      <c r="G1230" s="98"/>
      <c r="H1230" s="67"/>
      <c r="I1230" s="71"/>
      <c r="J1230" s="139">
        <v>232.6</v>
      </c>
      <c r="K1230" s="88" t="s">
        <v>3261</v>
      </c>
      <c r="L1230" s="73"/>
      <c r="M1230" s="11" t="s">
        <v>31</v>
      </c>
    </row>
    <row r="1231" spans="2:13" ht="15" customHeight="1" x14ac:dyDescent="0.25">
      <c r="B1231" s="11" t="s">
        <v>3376</v>
      </c>
      <c r="C1231" s="105">
        <v>45660</v>
      </c>
      <c r="D1231" s="12" t="s">
        <v>3377</v>
      </c>
      <c r="E1231" s="67"/>
      <c r="F1231" s="12" t="s">
        <v>3378</v>
      </c>
      <c r="G1231" s="98"/>
      <c r="H1231" s="67"/>
      <c r="I1231" s="71"/>
      <c r="J1231" s="72">
        <v>4764.2</v>
      </c>
      <c r="K1231" s="88" t="s">
        <v>17</v>
      </c>
      <c r="L1231" s="73"/>
      <c r="M1231" s="11" t="s">
        <v>31</v>
      </c>
    </row>
    <row r="1232" spans="2:13" ht="15" customHeight="1" x14ac:dyDescent="0.25">
      <c r="B1232" s="11" t="s">
        <v>3379</v>
      </c>
      <c r="C1232" s="105">
        <v>45660</v>
      </c>
      <c r="D1232" s="12" t="s">
        <v>241</v>
      </c>
      <c r="E1232" s="67"/>
      <c r="F1232" s="12" t="s">
        <v>3380</v>
      </c>
      <c r="G1232" s="98"/>
      <c r="H1232" s="67"/>
      <c r="I1232" s="71"/>
      <c r="J1232" s="72">
        <v>630</v>
      </c>
      <c r="K1232" s="88" t="s">
        <v>17</v>
      </c>
      <c r="L1232" s="73"/>
      <c r="M1232" s="11" t="s">
        <v>31</v>
      </c>
    </row>
    <row r="1233" spans="2:13" ht="15" customHeight="1" x14ac:dyDescent="0.25">
      <c r="B1233" s="11" t="s">
        <v>3381</v>
      </c>
      <c r="C1233" s="105">
        <v>45660</v>
      </c>
      <c r="D1233" s="12" t="s">
        <v>3382</v>
      </c>
      <c r="E1233" s="136"/>
      <c r="F1233" s="12" t="s">
        <v>3383</v>
      </c>
      <c r="G1233" s="137"/>
      <c r="H1233" s="67"/>
      <c r="I1233" s="138"/>
      <c r="J1233" s="72">
        <v>1025</v>
      </c>
      <c r="K1233" s="126" t="s">
        <v>17</v>
      </c>
      <c r="L1233" s="73"/>
      <c r="M1233" s="11" t="s">
        <v>18</v>
      </c>
    </row>
    <row r="1234" spans="2:13" ht="15" customHeight="1" x14ac:dyDescent="0.25">
      <c r="B1234" s="8" t="s">
        <v>3384</v>
      </c>
      <c r="C1234" s="128">
        <v>45660</v>
      </c>
      <c r="D1234" s="10" t="s">
        <v>3008</v>
      </c>
      <c r="E1234" s="67"/>
      <c r="F1234" s="10" t="s">
        <v>3385</v>
      </c>
      <c r="G1234" s="98"/>
      <c r="H1234" s="67"/>
      <c r="I1234" s="71"/>
      <c r="J1234" s="139">
        <v>1947.5</v>
      </c>
      <c r="K1234" s="88" t="s">
        <v>1874</v>
      </c>
      <c r="L1234" s="73"/>
      <c r="M1234" s="11" t="s">
        <v>31</v>
      </c>
    </row>
    <row r="1235" spans="2:13" x14ac:dyDescent="0.25">
      <c r="B1235" s="11" t="s">
        <v>3386</v>
      </c>
      <c r="C1235" s="105">
        <v>45660</v>
      </c>
      <c r="D1235" t="s">
        <v>3387</v>
      </c>
      <c r="E1235" s="67"/>
      <c r="F1235" s="12" t="s">
        <v>3388</v>
      </c>
      <c r="G1235" s="98"/>
      <c r="H1235" s="67"/>
      <c r="I1235" s="71"/>
      <c r="J1235" s="72">
        <v>100</v>
      </c>
      <c r="K1235" s="88" t="s">
        <v>17</v>
      </c>
      <c r="L1235" s="73"/>
      <c r="M1235" s="11" t="s">
        <v>31</v>
      </c>
    </row>
    <row r="1236" spans="2:13" ht="15" customHeight="1" x14ac:dyDescent="0.25">
      <c r="B1236" s="11" t="s">
        <v>3389</v>
      </c>
      <c r="C1236" s="105">
        <v>45663</v>
      </c>
      <c r="D1236" s="12" t="s">
        <v>241</v>
      </c>
      <c r="E1236" s="67"/>
      <c r="F1236" s="12" t="s">
        <v>3390</v>
      </c>
      <c r="G1236" s="98"/>
      <c r="H1236" s="67"/>
      <c r="I1236" s="71"/>
      <c r="J1236" s="72">
        <v>375</v>
      </c>
      <c r="K1236" s="88" t="s">
        <v>17</v>
      </c>
      <c r="L1236" s="73"/>
      <c r="M1236" s="11" t="s">
        <v>31</v>
      </c>
    </row>
    <row r="1237" spans="2:13" ht="15" customHeight="1" x14ac:dyDescent="0.25">
      <c r="B1237" s="11" t="s">
        <v>3391</v>
      </c>
      <c r="C1237" s="105">
        <v>45663</v>
      </c>
      <c r="D1237" s="12" t="s">
        <v>241</v>
      </c>
      <c r="E1237" s="67"/>
      <c r="F1237" s="12" t="s">
        <v>3392</v>
      </c>
      <c r="G1237" s="98"/>
      <c r="H1237" s="67"/>
      <c r="I1237" s="71"/>
      <c r="J1237" s="72">
        <v>405</v>
      </c>
      <c r="K1237" s="88" t="s">
        <v>17</v>
      </c>
      <c r="L1237" s="73"/>
      <c r="M1237" s="11" t="s">
        <v>31</v>
      </c>
    </row>
    <row r="1238" spans="2:13" ht="15" customHeight="1" x14ac:dyDescent="0.25">
      <c r="B1238" s="11" t="s">
        <v>3393</v>
      </c>
      <c r="C1238" s="105">
        <v>45663</v>
      </c>
      <c r="D1238" s="102" t="s">
        <v>1060</v>
      </c>
      <c r="E1238" s="67"/>
      <c r="F1238" s="102" t="s">
        <v>1323</v>
      </c>
      <c r="G1238" s="98"/>
      <c r="H1238" s="67"/>
      <c r="I1238" s="71"/>
      <c r="J1238" s="72">
        <v>320</v>
      </c>
      <c r="K1238" s="88" t="s">
        <v>17</v>
      </c>
      <c r="L1238" s="73"/>
      <c r="M1238" s="11" t="s">
        <v>31</v>
      </c>
    </row>
    <row r="1239" spans="2:13" ht="15" customHeight="1" x14ac:dyDescent="0.25">
      <c r="B1239" s="11" t="s">
        <v>3394</v>
      </c>
      <c r="C1239" s="105">
        <v>45664</v>
      </c>
      <c r="D1239" s="12" t="s">
        <v>3395</v>
      </c>
      <c r="E1239" s="136"/>
      <c r="F1239" s="12" t="s">
        <v>3396</v>
      </c>
      <c r="G1239" s="137"/>
      <c r="H1239" s="67"/>
      <c r="I1239" s="138"/>
      <c r="J1239" s="72">
        <v>4540</v>
      </c>
      <c r="K1239" s="126" t="s">
        <v>17</v>
      </c>
      <c r="L1239" s="73"/>
      <c r="M1239" s="11" t="s">
        <v>31</v>
      </c>
    </row>
    <row r="1240" spans="2:13" ht="15" customHeight="1" x14ac:dyDescent="0.25">
      <c r="B1240" s="8" t="s">
        <v>3397</v>
      </c>
      <c r="C1240" s="128">
        <v>45665</v>
      </c>
      <c r="D1240" t="s">
        <v>27</v>
      </c>
      <c r="E1240" s="67"/>
      <c r="F1240" t="s">
        <v>3398</v>
      </c>
      <c r="G1240" s="98"/>
      <c r="H1240" s="67"/>
      <c r="I1240" s="71"/>
      <c r="J1240" s="139">
        <v>968.5</v>
      </c>
      <c r="K1240" s="88" t="s">
        <v>17</v>
      </c>
      <c r="L1240" s="73"/>
      <c r="M1240" s="11" t="s">
        <v>31</v>
      </c>
    </row>
    <row r="1241" spans="2:13" ht="15" customHeight="1" x14ac:dyDescent="0.25">
      <c r="B1241" s="11" t="s">
        <v>3399</v>
      </c>
      <c r="C1241" s="105">
        <v>45664</v>
      </c>
      <c r="D1241" s="12" t="s">
        <v>3008</v>
      </c>
      <c r="E1241" s="136"/>
      <c r="F1241" s="12" t="s">
        <v>3400</v>
      </c>
      <c r="G1241" s="137"/>
      <c r="H1241" s="67"/>
      <c r="I1241" s="138"/>
      <c r="J1241" s="72">
        <v>4175</v>
      </c>
      <c r="K1241" s="126" t="s">
        <v>1874</v>
      </c>
      <c r="L1241" s="73"/>
      <c r="M1241" s="11" t="s">
        <v>18</v>
      </c>
    </row>
    <row r="1242" spans="2:13" ht="15" customHeight="1" x14ac:dyDescent="0.25">
      <c r="B1242" s="8" t="s">
        <v>3401</v>
      </c>
      <c r="C1242" s="128">
        <v>45664</v>
      </c>
      <c r="D1242" s="10" t="s">
        <v>3056</v>
      </c>
      <c r="E1242" s="67"/>
      <c r="F1242" s="10" t="s">
        <v>3402</v>
      </c>
      <c r="G1242" s="98"/>
      <c r="H1242" s="67"/>
      <c r="I1242" s="71"/>
      <c r="J1242" s="139">
        <v>1385</v>
      </c>
      <c r="K1242" s="88" t="s">
        <v>17</v>
      </c>
      <c r="L1242" s="73"/>
      <c r="M1242" s="11" t="s">
        <v>31</v>
      </c>
    </row>
    <row r="1243" spans="2:13" ht="15" customHeight="1" x14ac:dyDescent="0.25">
      <c r="B1243" s="11" t="s">
        <v>3403</v>
      </c>
      <c r="C1243" s="105">
        <v>45664</v>
      </c>
      <c r="D1243" s="12" t="s">
        <v>211</v>
      </c>
      <c r="E1243" s="67"/>
      <c r="F1243" s="12" t="s">
        <v>3404</v>
      </c>
      <c r="G1243" s="98"/>
      <c r="H1243" s="67"/>
      <c r="I1243" s="71"/>
      <c r="J1243" s="72">
        <v>657.5</v>
      </c>
      <c r="K1243" s="88" t="s">
        <v>17</v>
      </c>
      <c r="L1243" s="73"/>
      <c r="M1243" s="11" t="s">
        <v>31</v>
      </c>
    </row>
    <row r="1244" spans="2:13" ht="15" customHeight="1" x14ac:dyDescent="0.25">
      <c r="B1244" s="11" t="s">
        <v>3405</v>
      </c>
      <c r="C1244" s="105">
        <v>45665</v>
      </c>
      <c r="D1244" s="12" t="s">
        <v>241</v>
      </c>
      <c r="E1244" s="67"/>
      <c r="F1244" s="12" t="s">
        <v>3406</v>
      </c>
      <c r="G1244" s="98"/>
      <c r="H1244" s="67"/>
      <c r="I1244" s="71"/>
      <c r="J1244" s="72">
        <v>96</v>
      </c>
      <c r="K1244" s="88" t="s">
        <v>17</v>
      </c>
      <c r="L1244" s="73"/>
      <c r="M1244" s="11" t="s">
        <v>31</v>
      </c>
    </row>
    <row r="1245" spans="2:13" ht="15" customHeight="1" x14ac:dyDescent="0.25">
      <c r="B1245" s="11" t="s">
        <v>3407</v>
      </c>
      <c r="C1245" s="105">
        <v>45666</v>
      </c>
      <c r="D1245" s="12" t="s">
        <v>3408</v>
      </c>
      <c r="E1245" s="136"/>
      <c r="F1245" s="12" t="s">
        <v>3409</v>
      </c>
      <c r="G1245" s="137"/>
      <c r="H1245" s="67"/>
      <c r="I1245" s="138"/>
      <c r="J1245" s="72">
        <v>1900</v>
      </c>
      <c r="K1245" s="126" t="s">
        <v>17</v>
      </c>
      <c r="L1245" s="73"/>
      <c r="M1245" s="11" t="s">
        <v>18</v>
      </c>
    </row>
    <row r="1246" spans="2:13" ht="15" customHeight="1" x14ac:dyDescent="0.25">
      <c r="B1246" s="11" t="s">
        <v>3410</v>
      </c>
      <c r="C1246" s="105">
        <v>45666</v>
      </c>
      <c r="D1246" s="12" t="s">
        <v>3071</v>
      </c>
      <c r="E1246" s="136"/>
      <c r="F1246" s="12" t="s">
        <v>3411</v>
      </c>
      <c r="G1246" s="137"/>
      <c r="H1246" s="67"/>
      <c r="I1246" s="138"/>
      <c r="J1246" s="72">
        <v>2902.5</v>
      </c>
      <c r="K1246" s="126" t="s">
        <v>17</v>
      </c>
      <c r="L1246" s="73"/>
      <c r="M1246" s="11" t="s">
        <v>18</v>
      </c>
    </row>
    <row r="1247" spans="2:13" ht="15" customHeight="1" x14ac:dyDescent="0.25">
      <c r="B1247" s="8" t="s">
        <v>3412</v>
      </c>
      <c r="C1247" s="128">
        <v>45666</v>
      </c>
      <c r="D1247" s="10" t="s">
        <v>3413</v>
      </c>
      <c r="E1247" s="67"/>
      <c r="F1247" s="10" t="s">
        <v>3414</v>
      </c>
      <c r="G1247" s="98"/>
      <c r="H1247" s="67"/>
      <c r="I1247" s="71"/>
      <c r="J1247" s="139">
        <v>975</v>
      </c>
      <c r="K1247" s="88" t="s">
        <v>17</v>
      </c>
      <c r="L1247" s="73"/>
      <c r="M1247" s="11" t="s">
        <v>31</v>
      </c>
    </row>
    <row r="1248" spans="2:13" ht="15" customHeight="1" x14ac:dyDescent="0.25">
      <c r="B1248" s="11" t="s">
        <v>3415</v>
      </c>
      <c r="C1248" s="105">
        <v>45666</v>
      </c>
      <c r="D1248" s="12" t="s">
        <v>3416</v>
      </c>
      <c r="E1248" s="67"/>
      <c r="F1248" s="12" t="s">
        <v>3417</v>
      </c>
      <c r="G1248" s="98"/>
      <c r="H1248" s="67"/>
      <c r="I1248" s="71"/>
      <c r="J1248" s="72">
        <v>7200</v>
      </c>
      <c r="K1248" s="88" t="s">
        <v>17</v>
      </c>
      <c r="L1248" s="73"/>
      <c r="M1248" s="11" t="s">
        <v>31</v>
      </c>
    </row>
    <row r="1249" spans="2:13" ht="15" customHeight="1" x14ac:dyDescent="0.25">
      <c r="B1249" s="11" t="s">
        <v>3418</v>
      </c>
      <c r="C1249" s="105">
        <v>45666</v>
      </c>
      <c r="D1249" s="12" t="s">
        <v>1060</v>
      </c>
      <c r="E1249" s="67"/>
      <c r="F1249" s="12" t="s">
        <v>3419</v>
      </c>
      <c r="G1249" s="98"/>
      <c r="H1249" s="67"/>
      <c r="I1249" s="71"/>
      <c r="J1249" s="72">
        <v>8037.5</v>
      </c>
      <c r="K1249" s="88" t="s">
        <v>17</v>
      </c>
      <c r="L1249" s="73"/>
      <c r="M1249" s="11" t="s">
        <v>31</v>
      </c>
    </row>
    <row r="1250" spans="2:13" ht="15" customHeight="1" x14ac:dyDescent="0.25">
      <c r="B1250" s="11" t="s">
        <v>3420</v>
      </c>
      <c r="C1250" s="105">
        <v>45667</v>
      </c>
      <c r="D1250" t="s">
        <v>241</v>
      </c>
      <c r="E1250" s="67"/>
      <c r="F1250" t="s">
        <v>3421</v>
      </c>
      <c r="G1250" s="98"/>
      <c r="H1250" s="67"/>
      <c r="I1250" s="71"/>
      <c r="J1250" s="72">
        <v>405</v>
      </c>
      <c r="K1250" s="88" t="s">
        <v>17</v>
      </c>
      <c r="L1250" s="73"/>
      <c r="M1250" s="11" t="s">
        <v>31</v>
      </c>
    </row>
    <row r="1251" spans="2:13" ht="15" customHeight="1" x14ac:dyDescent="0.25">
      <c r="B1251" s="11" t="s">
        <v>3422</v>
      </c>
      <c r="C1251" s="105">
        <v>45668</v>
      </c>
      <c r="D1251" s="12" t="s">
        <v>429</v>
      </c>
      <c r="E1251" s="67"/>
      <c r="F1251" s="12" t="s">
        <v>1112</v>
      </c>
      <c r="G1251" s="98"/>
      <c r="H1251" s="67"/>
      <c r="I1251" s="71"/>
      <c r="J1251" s="72">
        <v>180</v>
      </c>
      <c r="K1251" s="88" t="s">
        <v>17</v>
      </c>
      <c r="L1251" s="73"/>
      <c r="M1251" s="11" t="s">
        <v>31</v>
      </c>
    </row>
    <row r="1252" spans="2:13" ht="15" customHeight="1" x14ac:dyDescent="0.25">
      <c r="B1252" s="11" t="s">
        <v>3423</v>
      </c>
      <c r="C1252" s="105">
        <v>45671</v>
      </c>
      <c r="D1252" s="12" t="s">
        <v>1188</v>
      </c>
      <c r="E1252" s="136"/>
      <c r="F1252" s="12" t="s">
        <v>3424</v>
      </c>
      <c r="G1252" s="137"/>
      <c r="H1252" s="67"/>
      <c r="I1252" s="138"/>
      <c r="J1252" s="72">
        <v>976.5</v>
      </c>
      <c r="K1252" s="88" t="s">
        <v>3239</v>
      </c>
      <c r="L1252" s="73"/>
      <c r="M1252" s="11" t="s">
        <v>18</v>
      </c>
    </row>
    <row r="1253" spans="2:13" ht="15" customHeight="1" x14ac:dyDescent="0.25">
      <c r="B1253" s="8" t="s">
        <v>3425</v>
      </c>
      <c r="C1253" s="128">
        <v>45670</v>
      </c>
      <c r="D1253" s="10" t="s">
        <v>3426</v>
      </c>
      <c r="E1253" s="67"/>
      <c r="F1253" s="10" t="s">
        <v>1519</v>
      </c>
      <c r="G1253" s="98"/>
      <c r="H1253" s="67"/>
      <c r="I1253" s="71"/>
      <c r="J1253" s="139">
        <v>945</v>
      </c>
      <c r="K1253" s="88" t="s">
        <v>17</v>
      </c>
      <c r="L1253" s="73"/>
      <c r="M1253" s="11" t="s">
        <v>31</v>
      </c>
    </row>
    <row r="1254" spans="2:13" ht="15" customHeight="1" x14ac:dyDescent="0.25">
      <c r="B1254" s="11" t="s">
        <v>3427</v>
      </c>
      <c r="C1254" s="105">
        <v>45670</v>
      </c>
      <c r="D1254" s="12" t="s">
        <v>3428</v>
      </c>
      <c r="E1254" s="136"/>
      <c r="F1254" s="12" t="s">
        <v>3429</v>
      </c>
      <c r="G1254" s="137"/>
      <c r="H1254" s="67"/>
      <c r="I1254" s="138"/>
      <c r="J1254" s="72">
        <v>7275</v>
      </c>
      <c r="K1254" s="126" t="s">
        <v>17</v>
      </c>
      <c r="L1254" s="73"/>
      <c r="M1254" s="11" t="s">
        <v>18</v>
      </c>
    </row>
    <row r="1255" spans="2:13" ht="15" customHeight="1" x14ac:dyDescent="0.25">
      <c r="B1255" s="11" t="s">
        <v>3430</v>
      </c>
      <c r="C1255" s="105">
        <v>45672</v>
      </c>
      <c r="D1255" s="12" t="s">
        <v>1302</v>
      </c>
      <c r="E1255" s="136"/>
      <c r="F1255" s="12" t="s">
        <v>3431</v>
      </c>
      <c r="G1255" s="137"/>
      <c r="H1255" s="67"/>
      <c r="I1255" s="138"/>
      <c r="J1255" s="72">
        <v>3510</v>
      </c>
      <c r="K1255" s="88" t="s">
        <v>3239</v>
      </c>
      <c r="L1255" s="73"/>
      <c r="M1255" s="11" t="s">
        <v>18</v>
      </c>
    </row>
    <row r="1256" spans="2:13" ht="15" customHeight="1" x14ac:dyDescent="0.25">
      <c r="B1256" s="11" t="s">
        <v>3432</v>
      </c>
      <c r="C1256" s="105">
        <v>45672</v>
      </c>
      <c r="D1256" s="12" t="s">
        <v>3433</v>
      </c>
      <c r="E1256" s="136"/>
      <c r="F1256" s="12" t="s">
        <v>3434</v>
      </c>
      <c r="G1256" s="137"/>
      <c r="H1256" s="67"/>
      <c r="I1256" s="138"/>
      <c r="J1256" s="72">
        <v>639</v>
      </c>
      <c r="K1256" s="126" t="s">
        <v>17</v>
      </c>
      <c r="L1256" s="73"/>
      <c r="M1256" s="11" t="s">
        <v>18</v>
      </c>
    </row>
    <row r="1257" spans="2:13" ht="15" customHeight="1" x14ac:dyDescent="0.25">
      <c r="B1257" s="11" t="s">
        <v>3435</v>
      </c>
      <c r="C1257" s="105">
        <v>45671</v>
      </c>
      <c r="D1257" s="12" t="s">
        <v>3260</v>
      </c>
      <c r="E1257" s="136"/>
      <c r="F1257" s="12" t="s">
        <v>3436</v>
      </c>
      <c r="G1257" s="137"/>
      <c r="H1257" s="67"/>
      <c r="I1257" s="138"/>
      <c r="J1257" s="72">
        <v>3925.8</v>
      </c>
      <c r="K1257" s="126" t="s">
        <v>17</v>
      </c>
      <c r="L1257" s="73"/>
      <c r="M1257" s="11" t="s">
        <v>18</v>
      </c>
    </row>
    <row r="1258" spans="2:13" ht="15" customHeight="1" x14ac:dyDescent="0.25">
      <c r="B1258" s="11" t="s">
        <v>3437</v>
      </c>
      <c r="C1258" s="105">
        <v>45672</v>
      </c>
      <c r="D1258" s="12" t="s">
        <v>27</v>
      </c>
      <c r="E1258" s="136"/>
      <c r="F1258" s="12" t="s">
        <v>3438</v>
      </c>
      <c r="G1258" s="137"/>
      <c r="H1258" s="67"/>
      <c r="I1258" s="138"/>
      <c r="J1258" s="72">
        <v>14545.4</v>
      </c>
      <c r="K1258" s="126" t="s">
        <v>17</v>
      </c>
      <c r="L1258" s="73"/>
      <c r="M1258" s="11" t="s">
        <v>18</v>
      </c>
    </row>
    <row r="1259" spans="2:13" ht="15" customHeight="1" x14ac:dyDescent="0.25">
      <c r="B1259" s="11" t="s">
        <v>3439</v>
      </c>
      <c r="C1259" s="105">
        <v>45672</v>
      </c>
      <c r="D1259" s="12" t="s">
        <v>3440</v>
      </c>
      <c r="E1259" s="136"/>
      <c r="F1259" s="12" t="s">
        <v>3441</v>
      </c>
      <c r="G1259" s="137"/>
      <c r="H1259" s="67"/>
      <c r="I1259" s="138"/>
      <c r="J1259" s="72">
        <v>3203.8</v>
      </c>
      <c r="K1259" s="126" t="s">
        <v>17</v>
      </c>
      <c r="L1259" s="73"/>
      <c r="M1259" s="11" t="s">
        <v>18</v>
      </c>
    </row>
    <row r="1260" spans="2:13" ht="15" customHeight="1" x14ac:dyDescent="0.25">
      <c r="B1260" s="8" t="s">
        <v>3442</v>
      </c>
      <c r="C1260" s="128">
        <v>45672</v>
      </c>
      <c r="D1260" s="10" t="s">
        <v>1060</v>
      </c>
      <c r="E1260" s="67"/>
      <c r="F1260" t="s">
        <v>3443</v>
      </c>
      <c r="G1260" s="98"/>
      <c r="H1260" s="67"/>
      <c r="I1260" s="71"/>
      <c r="J1260" s="139">
        <v>3592.95</v>
      </c>
      <c r="K1260" s="88" t="s">
        <v>17</v>
      </c>
      <c r="L1260" s="73"/>
      <c r="M1260" s="11" t="s">
        <v>18</v>
      </c>
    </row>
    <row r="1261" spans="2:13" x14ac:dyDescent="0.25">
      <c r="B1261" s="11" t="s">
        <v>3444</v>
      </c>
      <c r="C1261" s="105">
        <v>45674</v>
      </c>
      <c r="D1261" s="12" t="s">
        <v>3445</v>
      </c>
      <c r="E1261" s="136"/>
      <c r="F1261" s="12" t="s">
        <v>1247</v>
      </c>
      <c r="G1261" s="137"/>
      <c r="H1261" s="67"/>
      <c r="I1261" s="138"/>
      <c r="J1261" s="72">
        <v>105</v>
      </c>
      <c r="K1261" s="126" t="s">
        <v>1874</v>
      </c>
      <c r="L1261" s="73"/>
      <c r="M1261" s="11" t="s">
        <v>31</v>
      </c>
    </row>
    <row r="1262" spans="2:13" x14ac:dyDescent="0.25">
      <c r="B1262" s="11" t="s">
        <v>3446</v>
      </c>
      <c r="C1262" s="105">
        <v>45673</v>
      </c>
      <c r="D1262" s="12" t="s">
        <v>1060</v>
      </c>
      <c r="E1262" s="136"/>
      <c r="F1262" s="12" t="s">
        <v>3447</v>
      </c>
      <c r="G1262" s="137"/>
      <c r="H1262" s="67"/>
      <c r="I1262" s="138"/>
      <c r="J1262" s="72">
        <v>16200</v>
      </c>
      <c r="K1262" s="126" t="s">
        <v>17</v>
      </c>
      <c r="L1262" s="73"/>
      <c r="M1262" s="11" t="s">
        <v>31</v>
      </c>
    </row>
    <row r="1263" spans="2:13" x14ac:dyDescent="0.25">
      <c r="B1263" s="11" t="s">
        <v>3448</v>
      </c>
      <c r="C1263" s="105">
        <v>45673</v>
      </c>
      <c r="D1263" s="12" t="s">
        <v>630</v>
      </c>
      <c r="E1263" s="136"/>
      <c r="F1263" s="12" t="s">
        <v>171</v>
      </c>
      <c r="G1263" s="137"/>
      <c r="H1263" s="67"/>
      <c r="I1263" s="138"/>
      <c r="J1263" s="72">
        <v>1231.5</v>
      </c>
      <c r="K1263" s="126" t="s">
        <v>17</v>
      </c>
      <c r="L1263" s="73"/>
      <c r="M1263" s="11" t="s">
        <v>31</v>
      </c>
    </row>
    <row r="1264" spans="2:13" ht="15" customHeight="1" x14ac:dyDescent="0.25">
      <c r="B1264" s="11" t="s">
        <v>3449</v>
      </c>
      <c r="C1264" s="105">
        <v>45677</v>
      </c>
      <c r="D1264" s="12" t="s">
        <v>601</v>
      </c>
      <c r="E1264" s="136"/>
      <c r="F1264" s="12" t="s">
        <v>3450</v>
      </c>
      <c r="G1264" s="137"/>
      <c r="H1264" s="67"/>
      <c r="I1264" s="138"/>
      <c r="J1264" s="72">
        <v>3628.5</v>
      </c>
      <c r="K1264" s="126" t="s">
        <v>17</v>
      </c>
      <c r="L1264" s="73"/>
      <c r="M1264" s="11" t="s">
        <v>18</v>
      </c>
    </row>
    <row r="1265" spans="2:13" ht="15" customHeight="1" x14ac:dyDescent="0.25">
      <c r="B1265" s="8" t="s">
        <v>3451</v>
      </c>
      <c r="C1265" s="128">
        <v>45674</v>
      </c>
      <c r="D1265" s="10" t="s">
        <v>241</v>
      </c>
      <c r="E1265" s="67"/>
      <c r="F1265" s="10" t="s">
        <v>3452</v>
      </c>
      <c r="G1265" s="98"/>
      <c r="H1265" s="67"/>
      <c r="I1265" s="71"/>
      <c r="J1265" s="139">
        <v>470</v>
      </c>
      <c r="K1265" s="88" t="s">
        <v>17</v>
      </c>
      <c r="L1265" s="73"/>
      <c r="M1265" s="11" t="s">
        <v>31</v>
      </c>
    </row>
    <row r="1266" spans="2:13" ht="15" customHeight="1" x14ac:dyDescent="0.25">
      <c r="B1266" s="11" t="s">
        <v>3453</v>
      </c>
      <c r="C1266" s="105">
        <v>45678</v>
      </c>
      <c r="D1266" s="12" t="s">
        <v>3454</v>
      </c>
      <c r="E1266" s="136"/>
      <c r="F1266" s="12" t="s">
        <v>3258</v>
      </c>
      <c r="G1266" s="137"/>
      <c r="H1266" s="67"/>
      <c r="I1266" s="138"/>
      <c r="J1266" s="72">
        <v>21270</v>
      </c>
      <c r="K1266" s="88" t="s">
        <v>3239</v>
      </c>
      <c r="L1266" s="73"/>
      <c r="M1266" s="11" t="s">
        <v>18</v>
      </c>
    </row>
    <row r="1267" spans="2:13" ht="15" customHeight="1" x14ac:dyDescent="0.25">
      <c r="B1267" s="8" t="s">
        <v>3455</v>
      </c>
      <c r="C1267" s="128">
        <v>45677</v>
      </c>
      <c r="D1267" t="s">
        <v>3456</v>
      </c>
      <c r="E1267" s="67"/>
      <c r="F1267" s="10" t="s">
        <v>3457</v>
      </c>
      <c r="G1267" s="98"/>
      <c r="H1267" s="67"/>
      <c r="I1267" s="71"/>
      <c r="J1267" s="139">
        <v>405</v>
      </c>
      <c r="K1267" s="88" t="s">
        <v>17</v>
      </c>
      <c r="L1267" s="73"/>
      <c r="M1267" s="11" t="s">
        <v>31</v>
      </c>
    </row>
    <row r="1268" spans="2:13" ht="15" customHeight="1" x14ac:dyDescent="0.25">
      <c r="B1268" s="11" t="s">
        <v>3458</v>
      </c>
      <c r="C1268" s="105">
        <v>45678</v>
      </c>
      <c r="D1268" s="12" t="s">
        <v>503</v>
      </c>
      <c r="E1268" s="67"/>
      <c r="F1268" s="12" t="s">
        <v>3459</v>
      </c>
      <c r="G1268" s="98"/>
      <c r="H1268" s="67"/>
      <c r="I1268" s="71"/>
      <c r="J1268" s="72">
        <v>280</v>
      </c>
      <c r="K1268" s="88" t="s">
        <v>17</v>
      </c>
      <c r="L1268" s="73"/>
      <c r="M1268" s="11" t="s">
        <v>31</v>
      </c>
    </row>
    <row r="1269" spans="2:13" ht="15" customHeight="1" x14ac:dyDescent="0.25">
      <c r="B1269" s="11" t="s">
        <v>3460</v>
      </c>
      <c r="C1269" s="105">
        <v>45684</v>
      </c>
      <c r="D1269" s="12" t="s">
        <v>1060</v>
      </c>
      <c r="E1269" s="136"/>
      <c r="F1269" s="12" t="s">
        <v>3461</v>
      </c>
      <c r="G1269" s="137"/>
      <c r="H1269" s="67"/>
      <c r="I1269" s="138"/>
      <c r="J1269" s="72">
        <v>1320</v>
      </c>
      <c r="K1269" s="126" t="s">
        <v>17</v>
      </c>
      <c r="L1269" s="73"/>
      <c r="M1269" s="11" t="s">
        <v>31</v>
      </c>
    </row>
    <row r="1270" spans="2:13" ht="15" customHeight="1" x14ac:dyDescent="0.25">
      <c r="B1270" s="8" t="s">
        <v>3462</v>
      </c>
      <c r="C1270" s="128">
        <v>45678</v>
      </c>
      <c r="D1270" s="10" t="s">
        <v>3463</v>
      </c>
      <c r="E1270" s="67"/>
      <c r="F1270" s="10" t="s">
        <v>3464</v>
      </c>
      <c r="G1270" s="98"/>
      <c r="H1270" s="67"/>
      <c r="I1270" s="71"/>
      <c r="J1270" s="139">
        <v>2065</v>
      </c>
      <c r="K1270" s="88" t="s">
        <v>17</v>
      </c>
      <c r="L1270" s="73"/>
      <c r="M1270" s="11" t="s">
        <v>31</v>
      </c>
    </row>
    <row r="1271" spans="2:13" ht="15" customHeight="1" x14ac:dyDescent="0.25">
      <c r="B1271" s="11" t="s">
        <v>3465</v>
      </c>
      <c r="C1271" s="105">
        <v>45679</v>
      </c>
      <c r="D1271" s="12" t="s">
        <v>2254</v>
      </c>
      <c r="E1271" s="67"/>
      <c r="F1271" s="12" t="s">
        <v>3466</v>
      </c>
      <c r="G1271" s="98"/>
      <c r="H1271" s="67"/>
      <c r="I1271" s="71"/>
      <c r="J1271" s="72">
        <v>1244.5</v>
      </c>
      <c r="K1271" s="88" t="s">
        <v>17</v>
      </c>
      <c r="L1271" s="73"/>
      <c r="M1271" s="11" t="s">
        <v>31</v>
      </c>
    </row>
    <row r="1272" spans="2:13" ht="15" customHeight="1" x14ac:dyDescent="0.25">
      <c r="B1272" s="11" t="s">
        <v>3467</v>
      </c>
      <c r="C1272" s="105">
        <v>45684</v>
      </c>
      <c r="D1272" s="12" t="s">
        <v>27</v>
      </c>
      <c r="E1272" s="136"/>
      <c r="F1272" s="12" t="s">
        <v>3343</v>
      </c>
      <c r="G1272" s="137"/>
      <c r="H1272" s="67"/>
      <c r="I1272" s="138"/>
      <c r="J1272" s="72">
        <v>951.6</v>
      </c>
      <c r="K1272" s="126" t="s">
        <v>17</v>
      </c>
      <c r="L1272" s="73"/>
      <c r="M1272" s="11" t="s">
        <v>31</v>
      </c>
    </row>
    <row r="1273" spans="2:13" ht="15" customHeight="1" x14ac:dyDescent="0.25">
      <c r="B1273" s="11" t="s">
        <v>3468</v>
      </c>
      <c r="C1273" s="105">
        <v>45692</v>
      </c>
      <c r="D1273" s="12" t="s">
        <v>3469</v>
      </c>
      <c r="E1273" s="136"/>
      <c r="F1273" s="12" t="s">
        <v>3470</v>
      </c>
      <c r="G1273" s="137"/>
      <c r="H1273" s="67"/>
      <c r="I1273" s="138"/>
      <c r="J1273" s="72">
        <v>1262.5999999999999</v>
      </c>
      <c r="K1273" s="126" t="s">
        <v>17</v>
      </c>
      <c r="L1273" s="73"/>
      <c r="M1273" s="11" t="s">
        <v>31</v>
      </c>
    </row>
    <row r="1274" spans="2:13" ht="15" customHeight="1" x14ac:dyDescent="0.25">
      <c r="B1274" s="11" t="s">
        <v>3471</v>
      </c>
      <c r="C1274" s="105">
        <v>45681</v>
      </c>
      <c r="D1274" s="12" t="s">
        <v>27</v>
      </c>
      <c r="E1274" s="136"/>
      <c r="F1274" s="12" t="s">
        <v>3472</v>
      </c>
      <c r="G1274" s="137"/>
      <c r="H1274" s="67"/>
      <c r="I1274" s="138"/>
      <c r="J1274" s="72">
        <v>650</v>
      </c>
      <c r="K1274" s="126" t="s">
        <v>17</v>
      </c>
      <c r="L1274" s="73"/>
      <c r="M1274" s="11" t="s">
        <v>31</v>
      </c>
    </row>
    <row r="1275" spans="2:13" ht="15" customHeight="1" x14ac:dyDescent="0.25">
      <c r="B1275" s="11" t="s">
        <v>3473</v>
      </c>
      <c r="C1275" s="105">
        <v>45679</v>
      </c>
      <c r="D1275" s="12" t="s">
        <v>463</v>
      </c>
      <c r="E1275" s="136"/>
      <c r="F1275" s="12" t="s">
        <v>3474</v>
      </c>
      <c r="G1275" s="137"/>
      <c r="H1275" s="67"/>
      <c r="I1275" s="138"/>
      <c r="J1275" s="72">
        <v>285</v>
      </c>
      <c r="K1275" s="126" t="s">
        <v>17</v>
      </c>
      <c r="L1275" s="73"/>
      <c r="M1275" s="11" t="s">
        <v>31</v>
      </c>
    </row>
    <row r="1276" spans="2:13" ht="15" customHeight="1" x14ac:dyDescent="0.25">
      <c r="B1276" s="8" t="s">
        <v>3475</v>
      </c>
      <c r="C1276" s="128">
        <v>45679</v>
      </c>
      <c r="D1276" s="10" t="s">
        <v>2731</v>
      </c>
      <c r="E1276" s="67"/>
      <c r="F1276" s="10" t="s">
        <v>3476</v>
      </c>
      <c r="G1276" s="98"/>
      <c r="H1276" s="67"/>
      <c r="I1276" s="71"/>
      <c r="J1276" s="65">
        <v>1395</v>
      </c>
      <c r="K1276" s="88" t="s">
        <v>17</v>
      </c>
      <c r="L1276" s="73"/>
      <c r="M1276" s="11" t="s">
        <v>31</v>
      </c>
    </row>
    <row r="1277" spans="2:13" ht="15" customHeight="1" x14ac:dyDescent="0.25">
      <c r="B1277" s="11" t="s">
        <v>3477</v>
      </c>
      <c r="C1277" s="105">
        <v>45729</v>
      </c>
      <c r="D1277" s="12" t="s">
        <v>639</v>
      </c>
      <c r="E1277" s="136"/>
      <c r="F1277" s="12" t="s">
        <v>468</v>
      </c>
      <c r="G1277" s="137"/>
      <c r="H1277" s="67"/>
      <c r="I1277" s="138"/>
      <c r="J1277" s="72">
        <v>3408</v>
      </c>
      <c r="K1277" s="126" t="s">
        <v>17</v>
      </c>
      <c r="L1277" s="73"/>
      <c r="M1277" s="11" t="s">
        <v>31</v>
      </c>
    </row>
    <row r="1278" spans="2:13" ht="15" customHeight="1" x14ac:dyDescent="0.25">
      <c r="B1278" s="8" t="s">
        <v>3478</v>
      </c>
      <c r="C1278" s="128">
        <v>45679</v>
      </c>
      <c r="D1278" s="10" t="s">
        <v>241</v>
      </c>
      <c r="E1278" s="67"/>
      <c r="F1278" s="10" t="s">
        <v>3479</v>
      </c>
      <c r="G1278" s="98"/>
      <c r="H1278" s="67"/>
      <c r="I1278" s="71"/>
      <c r="J1278" s="139">
        <v>405</v>
      </c>
      <c r="K1278" s="88" t="s">
        <v>17</v>
      </c>
      <c r="L1278" s="73"/>
      <c r="M1278" s="11" t="s">
        <v>31</v>
      </c>
    </row>
    <row r="1279" spans="2:13" ht="15" customHeight="1" x14ac:dyDescent="0.25">
      <c r="B1279" s="11" t="s">
        <v>3480</v>
      </c>
      <c r="C1279" s="105">
        <v>45680</v>
      </c>
      <c r="D1279" s="12" t="s">
        <v>3481</v>
      </c>
      <c r="E1279" s="67"/>
      <c r="F1279" s="12" t="s">
        <v>3482</v>
      </c>
      <c r="G1279" s="98"/>
      <c r="H1279" s="67"/>
      <c r="I1279" s="71"/>
      <c r="J1279" s="72">
        <v>1676</v>
      </c>
      <c r="K1279" s="88" t="s">
        <v>17</v>
      </c>
      <c r="L1279" s="73"/>
      <c r="M1279" s="11" t="s">
        <v>31</v>
      </c>
    </row>
    <row r="1280" spans="2:13" ht="15" customHeight="1" x14ac:dyDescent="0.25">
      <c r="B1280" s="11" t="s">
        <v>3483</v>
      </c>
      <c r="C1280" s="105">
        <v>45680</v>
      </c>
      <c r="D1280" s="12" t="s">
        <v>3291</v>
      </c>
      <c r="E1280" s="136"/>
      <c r="F1280" s="12" t="s">
        <v>3484</v>
      </c>
      <c r="G1280" s="137"/>
      <c r="H1280" s="67"/>
      <c r="I1280" s="138"/>
      <c r="J1280" s="72">
        <v>22750</v>
      </c>
      <c r="K1280" s="126" t="s">
        <v>1874</v>
      </c>
      <c r="L1280" s="73"/>
      <c r="M1280" s="11" t="s">
        <v>18</v>
      </c>
    </row>
    <row r="1281" spans="2:13" x14ac:dyDescent="0.25">
      <c r="B1281" s="8" t="s">
        <v>3485</v>
      </c>
      <c r="C1281" s="128">
        <v>45680</v>
      </c>
      <c r="D1281" s="147" t="s">
        <v>3486</v>
      </c>
      <c r="E1281" s="67"/>
      <c r="F1281" s="10" t="s">
        <v>3487</v>
      </c>
      <c r="G1281" s="98"/>
      <c r="H1281" s="67"/>
      <c r="I1281" s="71"/>
      <c r="J1281" s="139">
        <v>1984</v>
      </c>
      <c r="K1281" s="88" t="s">
        <v>17</v>
      </c>
      <c r="L1281" s="73"/>
      <c r="M1281" s="11" t="s">
        <v>31</v>
      </c>
    </row>
    <row r="1282" spans="2:13" ht="15" customHeight="1" x14ac:dyDescent="0.25">
      <c r="B1282" s="11" t="s">
        <v>3488</v>
      </c>
      <c r="C1282" s="105">
        <v>45681</v>
      </c>
      <c r="D1282" s="12" t="s">
        <v>3260</v>
      </c>
      <c r="E1282" s="67"/>
      <c r="F1282" s="102" t="s">
        <v>468</v>
      </c>
      <c r="G1282" s="98"/>
      <c r="H1282" s="67"/>
      <c r="I1282" s="71"/>
      <c r="J1282" s="72">
        <v>1440</v>
      </c>
      <c r="K1282" s="88" t="s">
        <v>17</v>
      </c>
      <c r="L1282" s="73"/>
      <c r="M1282" s="11" t="s">
        <v>31</v>
      </c>
    </row>
    <row r="1283" spans="2:13" ht="15" customHeight="1" x14ac:dyDescent="0.25">
      <c r="B1283" s="11" t="s">
        <v>3489</v>
      </c>
      <c r="C1283" s="105">
        <v>45682</v>
      </c>
      <c r="D1283" s="12" t="s">
        <v>1060</v>
      </c>
      <c r="E1283" s="136"/>
      <c r="F1283" s="12" t="s">
        <v>3490</v>
      </c>
      <c r="G1283" s="137"/>
      <c r="H1283" s="67"/>
      <c r="I1283" s="138"/>
      <c r="J1283" s="72">
        <v>1530</v>
      </c>
      <c r="K1283" s="126" t="s">
        <v>17</v>
      </c>
      <c r="L1283" s="73"/>
      <c r="M1283" s="11" t="s">
        <v>31</v>
      </c>
    </row>
    <row r="1284" spans="2:13" ht="15" customHeight="1" x14ac:dyDescent="0.25">
      <c r="B1284" s="11" t="s">
        <v>3491</v>
      </c>
      <c r="C1284" s="105">
        <v>45682</v>
      </c>
      <c r="D1284" s="12" t="s">
        <v>27</v>
      </c>
      <c r="E1284" s="136"/>
      <c r="F1284" s="12" t="s">
        <v>3492</v>
      </c>
      <c r="G1284" s="137"/>
      <c r="H1284" s="67"/>
      <c r="I1284" s="138"/>
      <c r="J1284" s="72">
        <v>341.25</v>
      </c>
      <c r="K1284" s="126" t="s">
        <v>17</v>
      </c>
      <c r="L1284" s="73"/>
      <c r="M1284" s="11" t="s">
        <v>31</v>
      </c>
    </row>
    <row r="1285" spans="2:13" ht="15" customHeight="1" x14ac:dyDescent="0.25">
      <c r="B1285" s="8" t="s">
        <v>3493</v>
      </c>
      <c r="C1285" s="128">
        <v>45682</v>
      </c>
      <c r="D1285" t="s">
        <v>241</v>
      </c>
      <c r="E1285" s="67"/>
      <c r="F1285" t="s">
        <v>3494</v>
      </c>
      <c r="G1285" s="98"/>
      <c r="H1285" s="67"/>
      <c r="I1285" s="71"/>
      <c r="J1285" s="139">
        <v>405</v>
      </c>
      <c r="K1285" s="88" t="s">
        <v>17</v>
      </c>
      <c r="L1285" s="73"/>
      <c r="M1285" s="11" t="s">
        <v>31</v>
      </c>
    </row>
    <row r="1286" spans="2:13" ht="15" customHeight="1" x14ac:dyDescent="0.25">
      <c r="B1286" s="11" t="s">
        <v>3495</v>
      </c>
      <c r="C1286" s="105">
        <v>45702</v>
      </c>
      <c r="D1286" s="12" t="s">
        <v>115</v>
      </c>
      <c r="E1286" s="136"/>
      <c r="F1286" s="12" t="s">
        <v>3496</v>
      </c>
      <c r="G1286" s="137"/>
      <c r="H1286" s="67"/>
      <c r="I1286" s="138"/>
      <c r="J1286" s="72">
        <v>5000</v>
      </c>
      <c r="K1286" s="126" t="s">
        <v>17</v>
      </c>
      <c r="L1286" s="73"/>
      <c r="M1286" s="11" t="s">
        <v>31</v>
      </c>
    </row>
    <row r="1287" spans="2:13" x14ac:dyDescent="0.25">
      <c r="B1287" s="11" t="s">
        <v>3497</v>
      </c>
      <c r="C1287" s="105">
        <v>45682</v>
      </c>
      <c r="D1287" s="12" t="s">
        <v>3260</v>
      </c>
      <c r="E1287" s="136"/>
      <c r="F1287" s="12" t="s">
        <v>3498</v>
      </c>
      <c r="G1287" s="137"/>
      <c r="H1287" s="67"/>
      <c r="I1287" s="138"/>
      <c r="J1287" s="72">
        <v>849.87</v>
      </c>
      <c r="K1287" s="126" t="s">
        <v>17</v>
      </c>
      <c r="L1287" s="73"/>
      <c r="M1287" s="11" t="s">
        <v>31</v>
      </c>
    </row>
    <row r="1288" spans="2:13" ht="15" customHeight="1" x14ac:dyDescent="0.25">
      <c r="B1288" s="11" t="s">
        <v>3499</v>
      </c>
      <c r="C1288" s="105">
        <v>45684</v>
      </c>
      <c r="D1288" s="12" t="s">
        <v>241</v>
      </c>
      <c r="E1288" s="136"/>
      <c r="F1288" s="12" t="s">
        <v>3500</v>
      </c>
      <c r="G1288" s="137"/>
      <c r="H1288" s="67"/>
      <c r="I1288" s="138"/>
      <c r="J1288" s="72">
        <v>405</v>
      </c>
      <c r="K1288" s="126" t="s">
        <v>17</v>
      </c>
      <c r="L1288" s="73"/>
      <c r="M1288" s="11" t="s">
        <v>31</v>
      </c>
    </row>
    <row r="1289" spans="2:13" ht="15" customHeight="1" x14ac:dyDescent="0.25">
      <c r="B1289" s="11" t="s">
        <v>3501</v>
      </c>
      <c r="C1289" s="105">
        <v>45684</v>
      </c>
      <c r="D1289" s="12" t="s">
        <v>3502</v>
      </c>
      <c r="E1289" s="136"/>
      <c r="F1289" s="12" t="s">
        <v>3503</v>
      </c>
      <c r="G1289" s="137"/>
      <c r="H1289" s="67"/>
      <c r="I1289" s="138"/>
      <c r="J1289" s="72">
        <v>1875</v>
      </c>
      <c r="K1289" s="126" t="s">
        <v>17</v>
      </c>
      <c r="L1289" s="73"/>
      <c r="M1289" s="11" t="s">
        <v>18</v>
      </c>
    </row>
    <row r="1290" spans="2:13" ht="15" customHeight="1" x14ac:dyDescent="0.25">
      <c r="B1290" s="8" t="s">
        <v>3504</v>
      </c>
      <c r="C1290" s="128">
        <v>45684</v>
      </c>
      <c r="D1290" s="10" t="s">
        <v>3426</v>
      </c>
      <c r="E1290" s="67"/>
      <c r="F1290" s="10" t="s">
        <v>2365</v>
      </c>
      <c r="G1290" s="98"/>
      <c r="H1290" s="67"/>
      <c r="I1290" s="71"/>
      <c r="J1290" s="139">
        <v>695</v>
      </c>
      <c r="K1290" s="88" t="s">
        <v>17</v>
      </c>
      <c r="L1290" s="73"/>
      <c r="M1290" s="11" t="s">
        <v>31</v>
      </c>
    </row>
    <row r="1291" spans="2:13" ht="15" customHeight="1" x14ac:dyDescent="0.25">
      <c r="B1291" s="11" t="s">
        <v>3505</v>
      </c>
      <c r="C1291" s="105">
        <v>45684</v>
      </c>
      <c r="D1291" s="12" t="s">
        <v>3298</v>
      </c>
      <c r="E1291" s="67"/>
      <c r="F1291" s="12" t="s">
        <v>780</v>
      </c>
      <c r="G1291" s="98"/>
      <c r="H1291" s="67"/>
      <c r="I1291" s="71"/>
      <c r="J1291" s="72">
        <v>87.5</v>
      </c>
      <c r="K1291" s="88" t="s">
        <v>17</v>
      </c>
      <c r="L1291" s="73"/>
      <c r="M1291" s="11" t="s">
        <v>31</v>
      </c>
    </row>
    <row r="1292" spans="2:13" ht="15" customHeight="1" x14ac:dyDescent="0.25">
      <c r="B1292" s="11" t="s">
        <v>3506</v>
      </c>
      <c r="C1292" s="105">
        <v>45684</v>
      </c>
      <c r="D1292" s="12" t="s">
        <v>3507</v>
      </c>
      <c r="E1292" s="136"/>
      <c r="F1292" s="12" t="s">
        <v>3508</v>
      </c>
      <c r="G1292" s="137"/>
      <c r="H1292" s="67"/>
      <c r="I1292" s="138"/>
      <c r="J1292" s="72">
        <v>150</v>
      </c>
      <c r="K1292" s="126" t="s">
        <v>1874</v>
      </c>
      <c r="L1292" s="73"/>
      <c r="M1292" s="11" t="s">
        <v>18</v>
      </c>
    </row>
    <row r="1293" spans="2:13" ht="15" customHeight="1" x14ac:dyDescent="0.25">
      <c r="B1293" s="11" t="s">
        <v>3509</v>
      </c>
      <c r="C1293" s="105">
        <v>45684</v>
      </c>
      <c r="D1293" s="12" t="s">
        <v>1060</v>
      </c>
      <c r="E1293" s="136"/>
      <c r="F1293" s="12" t="s">
        <v>3510</v>
      </c>
      <c r="G1293" s="137"/>
      <c r="H1293" s="67"/>
      <c r="I1293" s="138"/>
      <c r="J1293" s="72">
        <v>58482.5</v>
      </c>
      <c r="K1293" s="126" t="s">
        <v>17</v>
      </c>
      <c r="L1293" s="73"/>
      <c r="M1293" s="11" t="s">
        <v>31</v>
      </c>
    </row>
    <row r="1294" spans="2:13" ht="15" customHeight="1" x14ac:dyDescent="0.25">
      <c r="B1294" s="11" t="s">
        <v>3511</v>
      </c>
      <c r="C1294" s="105">
        <v>45684</v>
      </c>
      <c r="D1294" s="12" t="s">
        <v>1060</v>
      </c>
      <c r="E1294" s="136"/>
      <c r="F1294" s="12" t="s">
        <v>3512</v>
      </c>
      <c r="G1294" s="137"/>
      <c r="H1294" s="67"/>
      <c r="I1294" s="138"/>
      <c r="J1294" s="72">
        <v>37406.75</v>
      </c>
      <c r="K1294" s="126" t="s">
        <v>17</v>
      </c>
      <c r="L1294" s="73"/>
      <c r="M1294" s="11" t="s">
        <v>31</v>
      </c>
    </row>
    <row r="1295" spans="2:13" ht="15" customHeight="1" x14ac:dyDescent="0.25">
      <c r="B1295" s="11" t="s">
        <v>3513</v>
      </c>
      <c r="C1295" s="105">
        <v>45684</v>
      </c>
      <c r="D1295" s="12" t="s">
        <v>1060</v>
      </c>
      <c r="E1295" s="136"/>
      <c r="F1295" s="12" t="s">
        <v>3514</v>
      </c>
      <c r="G1295" s="137"/>
      <c r="H1295" s="67"/>
      <c r="I1295" s="138"/>
      <c r="J1295" s="72">
        <v>1470</v>
      </c>
      <c r="K1295" s="126" t="s">
        <v>17</v>
      </c>
      <c r="L1295" s="73"/>
      <c r="M1295" s="11" t="s">
        <v>31</v>
      </c>
    </row>
    <row r="1296" spans="2:13" ht="15" customHeight="1" x14ac:dyDescent="0.25">
      <c r="B1296" s="11" t="s">
        <v>3515</v>
      </c>
      <c r="C1296" s="105">
        <v>45687</v>
      </c>
      <c r="D1296" s="12" t="s">
        <v>154</v>
      </c>
      <c r="E1296" s="136"/>
      <c r="F1296" s="12" t="s">
        <v>3516</v>
      </c>
      <c r="G1296" s="137"/>
      <c r="H1296" s="67"/>
      <c r="I1296" s="138"/>
      <c r="J1296" s="72">
        <v>4405</v>
      </c>
      <c r="K1296" s="126" t="s">
        <v>3261</v>
      </c>
      <c r="L1296" s="73"/>
      <c r="M1296" s="11" t="s">
        <v>3341</v>
      </c>
    </row>
    <row r="1297" spans="2:13" x14ac:dyDescent="0.25">
      <c r="B1297" s="11" t="s">
        <v>3517</v>
      </c>
      <c r="C1297" s="105">
        <v>45687</v>
      </c>
      <c r="D1297" s="12" t="s">
        <v>3518</v>
      </c>
      <c r="E1297" s="67"/>
      <c r="F1297" s="12" t="s">
        <v>3519</v>
      </c>
      <c r="G1297" s="98"/>
      <c r="H1297" s="67"/>
      <c r="I1297" s="71"/>
      <c r="J1297" s="139">
        <v>1945</v>
      </c>
      <c r="K1297" s="88" t="s">
        <v>17</v>
      </c>
      <c r="L1297" s="73"/>
      <c r="M1297" s="11" t="s">
        <v>31</v>
      </c>
    </row>
    <row r="1298" spans="2:13" x14ac:dyDescent="0.25">
      <c r="B1298" s="11" t="s">
        <v>3520</v>
      </c>
      <c r="C1298" s="105">
        <v>45686</v>
      </c>
      <c r="D1298" s="12" t="s">
        <v>44</v>
      </c>
      <c r="E1298" s="67"/>
      <c r="F1298" s="12" t="s">
        <v>3521</v>
      </c>
      <c r="G1298" s="98"/>
      <c r="H1298" s="67"/>
      <c r="I1298" s="71"/>
      <c r="J1298" s="72">
        <v>325</v>
      </c>
      <c r="K1298" s="88" t="s">
        <v>17</v>
      </c>
      <c r="L1298" s="73"/>
      <c r="M1298" s="11" t="s">
        <v>18</v>
      </c>
    </row>
    <row r="1299" spans="2:13" x14ac:dyDescent="0.25">
      <c r="B1299" s="11" t="s">
        <v>3522</v>
      </c>
      <c r="C1299" s="105">
        <v>45687</v>
      </c>
      <c r="D1299" s="12" t="s">
        <v>211</v>
      </c>
      <c r="E1299" s="67"/>
      <c r="F1299" s="12" t="s">
        <v>3404</v>
      </c>
      <c r="G1299" s="98"/>
      <c r="H1299" s="67"/>
      <c r="I1299" s="71"/>
      <c r="J1299" s="72">
        <v>937.5</v>
      </c>
      <c r="K1299" s="88" t="s">
        <v>17</v>
      </c>
      <c r="L1299" s="73"/>
      <c r="M1299" s="11" t="s">
        <v>31</v>
      </c>
    </row>
    <row r="1300" spans="2:13" x14ac:dyDescent="0.25">
      <c r="B1300" s="11" t="s">
        <v>3523</v>
      </c>
      <c r="C1300" s="105">
        <v>45687</v>
      </c>
      <c r="D1300" s="12" t="s">
        <v>654</v>
      </c>
      <c r="E1300" s="67"/>
      <c r="F1300" s="12" t="s">
        <v>120</v>
      </c>
      <c r="G1300" s="98"/>
      <c r="H1300" s="67"/>
      <c r="I1300" s="71"/>
      <c r="J1300" s="72">
        <v>1995</v>
      </c>
      <c r="K1300" s="88" t="s">
        <v>17</v>
      </c>
      <c r="L1300" s="73"/>
      <c r="M1300" s="11" t="s">
        <v>31</v>
      </c>
    </row>
    <row r="1301" spans="2:13" x14ac:dyDescent="0.25">
      <c r="B1301" s="11" t="s">
        <v>3524</v>
      </c>
      <c r="C1301" s="105">
        <v>45687</v>
      </c>
      <c r="D1301" s="12" t="s">
        <v>203</v>
      </c>
      <c r="E1301" s="67"/>
      <c r="F1301" s="12" t="s">
        <v>116</v>
      </c>
      <c r="G1301" s="98"/>
      <c r="H1301" s="67"/>
      <c r="I1301" s="71"/>
      <c r="J1301" s="72">
        <v>330</v>
      </c>
      <c r="K1301" s="88" t="s">
        <v>17</v>
      </c>
      <c r="L1301" s="73"/>
      <c r="M1301" s="11" t="s">
        <v>31</v>
      </c>
    </row>
    <row r="1302" spans="2:13" x14ac:dyDescent="0.25">
      <c r="B1302" s="11" t="s">
        <v>3525</v>
      </c>
      <c r="C1302" s="105">
        <v>45687</v>
      </c>
      <c r="D1302" s="12" t="s">
        <v>3416</v>
      </c>
      <c r="E1302" s="67"/>
      <c r="F1302" s="12" t="s">
        <v>3526</v>
      </c>
      <c r="G1302" s="98"/>
      <c r="H1302" s="67"/>
      <c r="I1302" s="71"/>
      <c r="J1302" s="72">
        <v>910</v>
      </c>
      <c r="K1302" s="88" t="s">
        <v>461</v>
      </c>
      <c r="L1302" s="73"/>
      <c r="M1302" s="11" t="s">
        <v>18</v>
      </c>
    </row>
    <row r="1303" spans="2:13" x14ac:dyDescent="0.25">
      <c r="B1303" s="11" t="s">
        <v>3527</v>
      </c>
      <c r="C1303" s="105">
        <v>45688</v>
      </c>
      <c r="D1303" s="12" t="s">
        <v>3528</v>
      </c>
      <c r="E1303" s="67"/>
      <c r="F1303" s="12" t="s">
        <v>2712</v>
      </c>
      <c r="G1303" s="98"/>
      <c r="H1303" s="67"/>
      <c r="I1303" s="71"/>
      <c r="J1303" s="72">
        <v>3825</v>
      </c>
      <c r="K1303" s="88" t="s">
        <v>1874</v>
      </c>
      <c r="L1303" s="73"/>
      <c r="M1303" s="11" t="s">
        <v>31</v>
      </c>
    </row>
    <row r="1304" spans="2:13" x14ac:dyDescent="0.25">
      <c r="B1304" s="11" t="s">
        <v>3529</v>
      </c>
      <c r="C1304" s="105">
        <v>45688</v>
      </c>
      <c r="D1304" s="12" t="s">
        <v>3530</v>
      </c>
      <c r="E1304" s="67"/>
      <c r="F1304" s="12" t="s">
        <v>3531</v>
      </c>
      <c r="G1304" s="98"/>
      <c r="H1304" s="67"/>
      <c r="I1304" s="71"/>
      <c r="J1304" s="72">
        <v>245</v>
      </c>
      <c r="K1304" s="88" t="s">
        <v>17</v>
      </c>
      <c r="L1304" s="73"/>
      <c r="M1304" s="11" t="s">
        <v>31</v>
      </c>
    </row>
    <row r="1305" spans="2:13" x14ac:dyDescent="0.25">
      <c r="B1305" s="11" t="s">
        <v>3532</v>
      </c>
      <c r="C1305" s="105">
        <v>45693</v>
      </c>
      <c r="D1305" s="12" t="s">
        <v>27</v>
      </c>
      <c r="E1305" s="67"/>
      <c r="F1305" s="12" t="s">
        <v>3533</v>
      </c>
      <c r="G1305" s="98"/>
      <c r="H1305" s="67"/>
      <c r="I1305" s="71"/>
      <c r="J1305" s="72">
        <v>410</v>
      </c>
      <c r="K1305" s="88" t="s">
        <v>17</v>
      </c>
      <c r="L1305" s="73"/>
      <c r="M1305" s="11" t="s">
        <v>31</v>
      </c>
    </row>
    <row r="1306" spans="2:13" x14ac:dyDescent="0.25">
      <c r="B1306" s="11" t="s">
        <v>3534</v>
      </c>
      <c r="C1306" s="105">
        <v>45689</v>
      </c>
      <c r="D1306" t="s">
        <v>392</v>
      </c>
      <c r="E1306" s="67"/>
      <c r="F1306" t="s">
        <v>1502</v>
      </c>
      <c r="G1306" s="98"/>
      <c r="H1306" s="67"/>
      <c r="I1306" s="71"/>
      <c r="J1306" s="72">
        <v>4800</v>
      </c>
      <c r="K1306" s="88" t="s">
        <v>17</v>
      </c>
      <c r="L1306" s="73"/>
      <c r="M1306" s="11" t="s">
        <v>31</v>
      </c>
    </row>
    <row r="1307" spans="2:13" x14ac:dyDescent="0.25">
      <c r="B1307" s="11" t="s">
        <v>3535</v>
      </c>
      <c r="C1307" s="120">
        <v>45691</v>
      </c>
      <c r="D1307" s="12" t="s">
        <v>3253</v>
      </c>
      <c r="E1307" s="136"/>
      <c r="F1307" s="12" t="s">
        <v>3536</v>
      </c>
      <c r="G1307" s="137"/>
      <c r="H1307" s="67"/>
      <c r="I1307" s="71"/>
      <c r="J1307" s="65">
        <v>14925</v>
      </c>
      <c r="K1307" s="88" t="s">
        <v>17</v>
      </c>
      <c r="L1307" s="73"/>
      <c r="M1307" s="11" t="s">
        <v>31</v>
      </c>
    </row>
    <row r="1308" spans="2:13" x14ac:dyDescent="0.25">
      <c r="B1308" s="11" t="s">
        <v>3537</v>
      </c>
      <c r="C1308" s="120">
        <v>45691</v>
      </c>
      <c r="D1308" s="12" t="s">
        <v>3003</v>
      </c>
      <c r="E1308" s="136"/>
      <c r="F1308" s="12" t="s">
        <v>3538</v>
      </c>
      <c r="G1308" s="137"/>
      <c r="H1308" s="67"/>
      <c r="I1308" s="71"/>
      <c r="J1308" s="72">
        <v>5950</v>
      </c>
      <c r="K1308" s="88" t="s">
        <v>17</v>
      </c>
      <c r="L1308" s="73"/>
      <c r="M1308" s="11" t="s">
        <v>18</v>
      </c>
    </row>
    <row r="1309" spans="2:13" x14ac:dyDescent="0.25">
      <c r="B1309" s="11" t="s">
        <v>3539</v>
      </c>
      <c r="C1309" s="120">
        <v>45696</v>
      </c>
      <c r="D1309" s="12" t="s">
        <v>3291</v>
      </c>
      <c r="E1309" s="136"/>
      <c r="F1309" s="12" t="s">
        <v>3540</v>
      </c>
      <c r="G1309" s="137"/>
      <c r="H1309" s="67"/>
      <c r="I1309" s="71"/>
      <c r="J1309" s="72">
        <v>22365</v>
      </c>
      <c r="K1309" s="88" t="s">
        <v>17</v>
      </c>
      <c r="L1309" s="73"/>
      <c r="M1309" s="11" t="s">
        <v>18</v>
      </c>
    </row>
    <row r="1310" spans="2:13" x14ac:dyDescent="0.25">
      <c r="B1310" s="11" t="s">
        <v>3541</v>
      </c>
      <c r="C1310" s="120">
        <v>45691</v>
      </c>
      <c r="D1310" s="12" t="s">
        <v>3387</v>
      </c>
      <c r="E1310" s="136"/>
      <c r="F1310" s="12" t="s">
        <v>3542</v>
      </c>
      <c r="G1310" s="137"/>
      <c r="H1310" s="67"/>
      <c r="I1310" s="71"/>
      <c r="J1310" s="72">
        <v>912.5</v>
      </c>
      <c r="K1310" s="88" t="s">
        <v>17</v>
      </c>
      <c r="L1310" s="73"/>
      <c r="M1310" s="11" t="s">
        <v>18</v>
      </c>
    </row>
    <row r="1311" spans="2:13" x14ac:dyDescent="0.25">
      <c r="B1311" s="11" t="s">
        <v>3543</v>
      </c>
      <c r="C1311" s="120">
        <v>45691</v>
      </c>
      <c r="D1311" s="12" t="s">
        <v>241</v>
      </c>
      <c r="E1311" s="136"/>
      <c r="F1311" s="12" t="s">
        <v>2977</v>
      </c>
      <c r="G1311" s="137"/>
      <c r="H1311" s="67"/>
      <c r="I1311" s="71"/>
      <c r="J1311" s="72">
        <v>8190</v>
      </c>
      <c r="K1311" s="88" t="s">
        <v>17</v>
      </c>
      <c r="L1311" s="73"/>
      <c r="M1311" s="11" t="s">
        <v>31</v>
      </c>
    </row>
    <row r="1312" spans="2:13" x14ac:dyDescent="0.25">
      <c r="B1312" s="11" t="s">
        <v>3544</v>
      </c>
      <c r="C1312" s="120">
        <v>45691</v>
      </c>
      <c r="D1312" s="12" t="s">
        <v>3395</v>
      </c>
      <c r="E1312" s="136"/>
      <c r="F1312" s="12" t="s">
        <v>1247</v>
      </c>
      <c r="G1312" s="137"/>
      <c r="H1312" s="67"/>
      <c r="I1312" s="71"/>
      <c r="J1312" s="72">
        <v>90</v>
      </c>
      <c r="K1312" s="88" t="s">
        <v>17</v>
      </c>
      <c r="L1312" s="73"/>
      <c r="M1312" s="11" t="s">
        <v>31</v>
      </c>
    </row>
    <row r="1313" spans="2:13" x14ac:dyDescent="0.25">
      <c r="B1313" s="11" t="s">
        <v>3545</v>
      </c>
      <c r="C1313" s="120">
        <v>45692</v>
      </c>
      <c r="D1313" s="12" t="s">
        <v>3387</v>
      </c>
      <c r="E1313" s="136"/>
      <c r="F1313" s="12" t="s">
        <v>3546</v>
      </c>
      <c r="G1313" s="137"/>
      <c r="H1313" s="67"/>
      <c r="I1313" s="71"/>
      <c r="J1313" s="72">
        <v>210</v>
      </c>
      <c r="K1313" s="88" t="s">
        <v>17</v>
      </c>
      <c r="L1313" s="73"/>
      <c r="M1313" s="11" t="s">
        <v>18</v>
      </c>
    </row>
    <row r="1314" spans="2:13" x14ac:dyDescent="0.25">
      <c r="B1314" s="11" t="s">
        <v>3547</v>
      </c>
      <c r="C1314" s="120">
        <v>45692</v>
      </c>
      <c r="D1314" s="12" t="s">
        <v>241</v>
      </c>
      <c r="E1314" s="136"/>
      <c r="F1314" s="12" t="s">
        <v>3548</v>
      </c>
      <c r="G1314" s="137"/>
      <c r="H1314" s="67"/>
      <c r="I1314" s="71"/>
      <c r="J1314" s="72">
        <v>405</v>
      </c>
      <c r="K1314" s="88" t="s">
        <v>17</v>
      </c>
      <c r="L1314" s="73"/>
      <c r="M1314" s="11" t="s">
        <v>31</v>
      </c>
    </row>
    <row r="1315" spans="2:13" x14ac:dyDescent="0.25">
      <c r="B1315" s="11" t="s">
        <v>3549</v>
      </c>
      <c r="C1315" s="120">
        <v>45692</v>
      </c>
      <c r="D1315" s="12" t="s">
        <v>639</v>
      </c>
      <c r="E1315" s="136"/>
      <c r="F1315" s="12" t="s">
        <v>3550</v>
      </c>
      <c r="G1315" s="137"/>
      <c r="H1315" s="67"/>
      <c r="I1315" s="71"/>
      <c r="J1315" s="72">
        <v>28860</v>
      </c>
      <c r="K1315" s="88" t="s">
        <v>3239</v>
      </c>
      <c r="L1315" s="73"/>
      <c r="M1315" s="11" t="s">
        <v>31</v>
      </c>
    </row>
    <row r="1316" spans="2:13" x14ac:dyDescent="0.25">
      <c r="B1316" s="11" t="s">
        <v>3551</v>
      </c>
      <c r="C1316" s="120">
        <v>45692</v>
      </c>
      <c r="D1316" s="12" t="s">
        <v>1060</v>
      </c>
      <c r="E1316" s="136"/>
      <c r="F1316" s="12" t="s">
        <v>3552</v>
      </c>
      <c r="G1316" s="137"/>
      <c r="H1316" s="67"/>
      <c r="I1316" s="71"/>
      <c r="J1316" s="72">
        <v>150</v>
      </c>
      <c r="K1316" s="88" t="s">
        <v>17</v>
      </c>
      <c r="L1316" s="73"/>
      <c r="M1316" s="11" t="s">
        <v>31</v>
      </c>
    </row>
    <row r="1317" spans="2:13" x14ac:dyDescent="0.25">
      <c r="B1317" s="11" t="s">
        <v>3553</v>
      </c>
      <c r="C1317" s="120">
        <v>45692</v>
      </c>
      <c r="D1317" s="10" t="s">
        <v>1872</v>
      </c>
      <c r="E1317" s="67"/>
      <c r="F1317" s="10" t="s">
        <v>3554</v>
      </c>
      <c r="G1317" s="98"/>
      <c r="H1317" s="67"/>
      <c r="I1317" s="71"/>
      <c r="J1317" s="72">
        <v>49088</v>
      </c>
      <c r="K1317" s="88" t="s">
        <v>17</v>
      </c>
      <c r="L1317" s="73"/>
      <c r="M1317" s="11" t="s">
        <v>18</v>
      </c>
    </row>
    <row r="1318" spans="2:13" x14ac:dyDescent="0.25">
      <c r="B1318" s="11" t="s">
        <v>3555</v>
      </c>
      <c r="C1318" s="105">
        <v>45693</v>
      </c>
      <c r="D1318" s="12" t="s">
        <v>1603</v>
      </c>
      <c r="E1318" s="67"/>
      <c r="F1318" s="12" t="s">
        <v>3556</v>
      </c>
      <c r="G1318" s="98"/>
      <c r="H1318" s="67"/>
      <c r="I1318" s="71"/>
      <c r="J1318" s="72">
        <v>965</v>
      </c>
      <c r="K1318" s="88" t="s">
        <v>461</v>
      </c>
      <c r="L1318" s="73"/>
      <c r="M1318" s="11" t="s">
        <v>18</v>
      </c>
    </row>
    <row r="1319" spans="2:13" x14ac:dyDescent="0.25">
      <c r="B1319" s="11" t="s">
        <v>3557</v>
      </c>
      <c r="C1319" s="105">
        <v>45693</v>
      </c>
      <c r="D1319" s="12" t="s">
        <v>1722</v>
      </c>
      <c r="E1319" s="67"/>
      <c r="F1319" s="12" t="s">
        <v>3558</v>
      </c>
      <c r="G1319" s="98"/>
      <c r="H1319" s="67"/>
      <c r="I1319" s="71"/>
      <c r="J1319" s="72">
        <v>870</v>
      </c>
      <c r="K1319" s="88" t="s">
        <v>17</v>
      </c>
      <c r="L1319" s="73"/>
      <c r="M1319" s="11" t="s">
        <v>31</v>
      </c>
    </row>
    <row r="1320" spans="2:13" x14ac:dyDescent="0.25">
      <c r="B1320" s="11" t="s">
        <v>3559</v>
      </c>
      <c r="C1320" s="105">
        <v>45693</v>
      </c>
      <c r="D1320" s="12" t="s">
        <v>3560</v>
      </c>
      <c r="E1320" s="67"/>
      <c r="F1320" s="12" t="s">
        <v>3561</v>
      </c>
      <c r="G1320" s="98"/>
      <c r="H1320" s="67"/>
      <c r="I1320" s="71"/>
      <c r="J1320" s="72">
        <v>1737.5</v>
      </c>
      <c r="K1320" s="88" t="s">
        <v>17</v>
      </c>
      <c r="L1320" s="73"/>
      <c r="M1320" s="11" t="s">
        <v>18</v>
      </c>
    </row>
    <row r="1321" spans="2:13" x14ac:dyDescent="0.25">
      <c r="B1321" s="11" t="s">
        <v>3562</v>
      </c>
      <c r="C1321" s="105">
        <v>45693</v>
      </c>
      <c r="D1321" s="12" t="s">
        <v>1060</v>
      </c>
      <c r="E1321" s="67"/>
      <c r="F1321" s="12" t="s">
        <v>3563</v>
      </c>
      <c r="G1321" s="98"/>
      <c r="H1321" s="67"/>
      <c r="I1321" s="71"/>
      <c r="J1321" s="72">
        <v>388.5</v>
      </c>
      <c r="K1321" s="88" t="s">
        <v>17</v>
      </c>
      <c r="L1321" s="73"/>
      <c r="M1321" s="11" t="s">
        <v>18</v>
      </c>
    </row>
    <row r="1322" spans="2:13" x14ac:dyDescent="0.25">
      <c r="B1322" s="11" t="s">
        <v>3564</v>
      </c>
      <c r="C1322" s="105">
        <v>45698</v>
      </c>
      <c r="D1322" s="12" t="s">
        <v>27</v>
      </c>
      <c r="E1322" s="67"/>
      <c r="F1322" s="12" t="s">
        <v>3565</v>
      </c>
      <c r="G1322" s="98"/>
      <c r="H1322" s="67"/>
      <c r="I1322" s="71"/>
      <c r="J1322" s="72">
        <v>3372.5</v>
      </c>
      <c r="K1322" s="88" t="s">
        <v>17</v>
      </c>
      <c r="L1322" s="73"/>
      <c r="M1322" s="11" t="s">
        <v>31</v>
      </c>
    </row>
    <row r="1323" spans="2:13" x14ac:dyDescent="0.25">
      <c r="B1323" s="11" t="s">
        <v>3566</v>
      </c>
      <c r="C1323" s="105">
        <v>45693</v>
      </c>
      <c r="D1323" s="12" t="s">
        <v>241</v>
      </c>
      <c r="E1323" s="67"/>
      <c r="F1323" s="12" t="s">
        <v>3567</v>
      </c>
      <c r="G1323" s="98"/>
      <c r="H1323" s="67"/>
      <c r="I1323" s="71"/>
      <c r="J1323" s="72">
        <v>810</v>
      </c>
      <c r="K1323" s="88" t="s">
        <v>17</v>
      </c>
      <c r="L1323" s="73"/>
      <c r="M1323" s="11" t="s">
        <v>31</v>
      </c>
    </row>
    <row r="1324" spans="2:13" x14ac:dyDescent="0.25">
      <c r="B1324" s="11" t="s">
        <v>3568</v>
      </c>
      <c r="C1324" s="105">
        <v>45694</v>
      </c>
      <c r="D1324" s="12" t="s">
        <v>170</v>
      </c>
      <c r="E1324" s="67"/>
      <c r="F1324" s="12" t="s">
        <v>3569</v>
      </c>
      <c r="G1324" s="98"/>
      <c r="H1324" s="67"/>
      <c r="I1324" s="71"/>
      <c r="J1324" s="72">
        <v>4605</v>
      </c>
      <c r="K1324" s="88" t="s">
        <v>17</v>
      </c>
      <c r="L1324" s="73"/>
      <c r="M1324" s="11" t="s">
        <v>18</v>
      </c>
    </row>
    <row r="1325" spans="2:13" x14ac:dyDescent="0.25">
      <c r="B1325" s="11" t="s">
        <v>3570</v>
      </c>
      <c r="C1325" s="105">
        <v>45694</v>
      </c>
      <c r="D1325" s="12" t="s">
        <v>3359</v>
      </c>
      <c r="E1325" s="67"/>
      <c r="F1325" s="12" t="s">
        <v>3571</v>
      </c>
      <c r="G1325" s="98"/>
      <c r="H1325" s="67"/>
      <c r="I1325" s="71"/>
      <c r="J1325" s="72">
        <v>2182.5</v>
      </c>
      <c r="K1325" s="88" t="s">
        <v>17</v>
      </c>
      <c r="L1325" s="73"/>
      <c r="M1325" s="11" t="s">
        <v>18</v>
      </c>
    </row>
    <row r="1326" spans="2:13" x14ac:dyDescent="0.25">
      <c r="B1326" s="11" t="s">
        <v>3572</v>
      </c>
      <c r="C1326" s="105">
        <v>45694</v>
      </c>
      <c r="D1326" s="12" t="s">
        <v>3573</v>
      </c>
      <c r="E1326" s="67"/>
      <c r="F1326" s="12" t="s">
        <v>780</v>
      </c>
      <c r="G1326" s="98"/>
      <c r="H1326" s="67"/>
      <c r="I1326" s="71"/>
      <c r="J1326" s="72">
        <v>410</v>
      </c>
      <c r="K1326" s="88" t="s">
        <v>1874</v>
      </c>
      <c r="L1326" s="73"/>
      <c r="M1326" s="11" t="s">
        <v>31</v>
      </c>
    </row>
    <row r="1327" spans="2:13" x14ac:dyDescent="0.25">
      <c r="B1327" s="11" t="s">
        <v>3574</v>
      </c>
      <c r="C1327" s="105">
        <v>45695</v>
      </c>
      <c r="D1327" s="12" t="s">
        <v>3575</v>
      </c>
      <c r="E1327" s="67"/>
      <c r="F1327" s="12" t="s">
        <v>3576</v>
      </c>
      <c r="G1327" s="98"/>
      <c r="H1327" s="67"/>
      <c r="I1327" s="71"/>
      <c r="J1327" s="72">
        <v>6725</v>
      </c>
      <c r="K1327" s="88" t="s">
        <v>17</v>
      </c>
      <c r="L1327" s="73"/>
      <c r="M1327" s="11" t="s">
        <v>18</v>
      </c>
    </row>
    <row r="1328" spans="2:13" x14ac:dyDescent="0.25">
      <c r="B1328" s="11" t="s">
        <v>3577</v>
      </c>
      <c r="C1328" s="105">
        <v>45695</v>
      </c>
      <c r="D1328" s="12" t="s">
        <v>211</v>
      </c>
      <c r="E1328" s="67"/>
      <c r="F1328" s="12" t="s">
        <v>3578</v>
      </c>
      <c r="G1328" s="98"/>
      <c r="H1328" s="67"/>
      <c r="I1328" s="71"/>
      <c r="J1328" s="72">
        <v>680</v>
      </c>
      <c r="K1328" s="88" t="s">
        <v>17</v>
      </c>
      <c r="L1328" s="73"/>
      <c r="M1328" s="11" t="s">
        <v>31</v>
      </c>
    </row>
    <row r="1329" spans="2:13" x14ac:dyDescent="0.25">
      <c r="B1329" s="11" t="s">
        <v>3579</v>
      </c>
      <c r="C1329" s="105">
        <v>45700</v>
      </c>
      <c r="D1329" s="12" t="s">
        <v>241</v>
      </c>
      <c r="E1329" s="67"/>
      <c r="F1329" s="12" t="s">
        <v>339</v>
      </c>
      <c r="G1329" s="98"/>
      <c r="H1329" s="67"/>
      <c r="I1329" s="71"/>
      <c r="J1329" s="72">
        <v>1554</v>
      </c>
      <c r="K1329" s="88" t="s">
        <v>17</v>
      </c>
      <c r="L1329" s="73"/>
      <c r="M1329" s="11" t="s">
        <v>31</v>
      </c>
    </row>
    <row r="1330" spans="2:13" x14ac:dyDescent="0.25">
      <c r="B1330" s="11" t="s">
        <v>3580</v>
      </c>
      <c r="C1330" s="105">
        <v>45736</v>
      </c>
      <c r="D1330" s="12" t="s">
        <v>673</v>
      </c>
      <c r="E1330" s="67"/>
      <c r="F1330" s="12" t="s">
        <v>3581</v>
      </c>
      <c r="G1330" s="98"/>
      <c r="H1330" s="67"/>
      <c r="I1330" s="71"/>
      <c r="J1330" s="72">
        <v>885</v>
      </c>
      <c r="K1330" s="88" t="s">
        <v>3239</v>
      </c>
      <c r="L1330" s="73"/>
      <c r="M1330" s="11" t="s">
        <v>18</v>
      </c>
    </row>
    <row r="1331" spans="2:13" x14ac:dyDescent="0.25">
      <c r="B1331" s="11" t="s">
        <v>3582</v>
      </c>
      <c r="C1331" s="105">
        <v>45695</v>
      </c>
      <c r="D1331" s="12" t="s">
        <v>241</v>
      </c>
      <c r="E1331" s="67"/>
      <c r="F1331" s="12" t="s">
        <v>3583</v>
      </c>
      <c r="G1331" s="98"/>
      <c r="H1331" s="67"/>
      <c r="I1331" s="71"/>
      <c r="J1331" s="72">
        <v>1865</v>
      </c>
      <c r="K1331" s="88" t="s">
        <v>17</v>
      </c>
      <c r="L1331" s="73"/>
      <c r="M1331" s="11" t="s">
        <v>31</v>
      </c>
    </row>
    <row r="1332" spans="2:13" x14ac:dyDescent="0.25">
      <c r="B1332" s="11" t="s">
        <v>3584</v>
      </c>
      <c r="C1332" s="105">
        <v>45695</v>
      </c>
      <c r="D1332" s="12" t="s">
        <v>3585</v>
      </c>
      <c r="E1332" s="67"/>
      <c r="F1332" s="12" t="s">
        <v>3586</v>
      </c>
      <c r="G1332" s="98"/>
      <c r="H1332" s="67"/>
      <c r="I1332" s="71"/>
      <c r="J1332" s="72">
        <v>29625</v>
      </c>
      <c r="K1332" s="88" t="s">
        <v>3239</v>
      </c>
      <c r="L1332" s="73"/>
      <c r="M1332" s="11" t="s">
        <v>18</v>
      </c>
    </row>
    <row r="1333" spans="2:13" x14ac:dyDescent="0.25">
      <c r="B1333" s="11" t="s">
        <v>3587</v>
      </c>
      <c r="C1333" s="105">
        <v>45706</v>
      </c>
      <c r="D1333" s="12" t="s">
        <v>27</v>
      </c>
      <c r="E1333" s="67"/>
      <c r="F1333" s="12" t="s">
        <v>3155</v>
      </c>
      <c r="G1333" s="98"/>
      <c r="H1333" s="67"/>
      <c r="I1333" s="71"/>
      <c r="J1333" s="72">
        <v>8925</v>
      </c>
      <c r="K1333" s="88" t="s">
        <v>17</v>
      </c>
      <c r="L1333" s="73"/>
      <c r="M1333" s="11" t="s">
        <v>31</v>
      </c>
    </row>
    <row r="1334" spans="2:13" x14ac:dyDescent="0.25">
      <c r="B1334" s="11" t="s">
        <v>3588</v>
      </c>
      <c r="C1334" s="105">
        <v>45699</v>
      </c>
      <c r="D1334" s="12" t="s">
        <v>154</v>
      </c>
      <c r="E1334" s="67"/>
      <c r="F1334" s="12" t="s">
        <v>3589</v>
      </c>
      <c r="G1334" s="98"/>
      <c r="H1334" s="67"/>
      <c r="I1334" s="71"/>
      <c r="J1334" s="72">
        <v>8980</v>
      </c>
      <c r="K1334" s="88" t="s">
        <v>3261</v>
      </c>
      <c r="L1334" s="73"/>
      <c r="M1334" s="11" t="s">
        <v>31</v>
      </c>
    </row>
    <row r="1335" spans="2:13" x14ac:dyDescent="0.25">
      <c r="B1335" s="11" t="s">
        <v>3590</v>
      </c>
      <c r="C1335" s="105">
        <v>45696</v>
      </c>
      <c r="D1335" s="12" t="s">
        <v>426</v>
      </c>
      <c r="E1335" s="67"/>
      <c r="F1335" s="12" t="s">
        <v>3591</v>
      </c>
      <c r="G1335" s="98"/>
      <c r="H1335" s="67"/>
      <c r="I1335" s="71"/>
      <c r="J1335" s="72">
        <v>550</v>
      </c>
      <c r="K1335" s="88" t="s">
        <v>17</v>
      </c>
      <c r="L1335" s="73"/>
      <c r="M1335" s="11" t="s">
        <v>31</v>
      </c>
    </row>
    <row r="1336" spans="2:13" x14ac:dyDescent="0.25">
      <c r="B1336" s="11" t="s">
        <v>3592</v>
      </c>
      <c r="C1336" s="105">
        <v>45707</v>
      </c>
      <c r="D1336" s="12" t="s">
        <v>3593</v>
      </c>
      <c r="E1336" s="67"/>
      <c r="F1336" s="12" t="s">
        <v>3594</v>
      </c>
      <c r="G1336" s="98"/>
      <c r="H1336" s="67"/>
      <c r="I1336" s="71"/>
      <c r="J1336" s="72">
        <v>6990</v>
      </c>
      <c r="K1336" s="88" t="s">
        <v>3239</v>
      </c>
      <c r="L1336" s="73"/>
      <c r="M1336" s="11" t="s">
        <v>18</v>
      </c>
    </row>
    <row r="1337" spans="2:13" x14ac:dyDescent="0.25">
      <c r="B1337" s="11" t="s">
        <v>3595</v>
      </c>
      <c r="C1337" s="105">
        <v>45696</v>
      </c>
      <c r="D1337" s="12" t="s">
        <v>2546</v>
      </c>
      <c r="E1337" s="67"/>
      <c r="F1337" s="12" t="s">
        <v>2674</v>
      </c>
      <c r="G1337" s="98"/>
      <c r="H1337" s="67"/>
      <c r="I1337" s="71"/>
      <c r="J1337" s="72">
        <v>13473.75</v>
      </c>
      <c r="K1337" s="88" t="s">
        <v>3239</v>
      </c>
      <c r="L1337" s="73"/>
      <c r="M1337" s="11" t="s">
        <v>18</v>
      </c>
    </row>
    <row r="1338" spans="2:13" x14ac:dyDescent="0.25">
      <c r="B1338" s="11" t="s">
        <v>3596</v>
      </c>
      <c r="C1338" s="105">
        <v>45699</v>
      </c>
      <c r="D1338" t="s">
        <v>3530</v>
      </c>
      <c r="E1338" s="67"/>
      <c r="F1338" s="12" t="s">
        <v>3597</v>
      </c>
      <c r="G1338" s="98"/>
      <c r="H1338" s="67"/>
      <c r="I1338" s="71"/>
      <c r="J1338" s="72">
        <v>1975</v>
      </c>
      <c r="K1338" s="88" t="s">
        <v>17</v>
      </c>
      <c r="L1338" s="73"/>
      <c r="M1338" s="11" t="s">
        <v>31</v>
      </c>
    </row>
    <row r="1339" spans="2:13" x14ac:dyDescent="0.25">
      <c r="B1339" s="11" t="s">
        <v>3598</v>
      </c>
      <c r="C1339" s="105">
        <v>45698</v>
      </c>
      <c r="D1339" s="12" t="s">
        <v>27</v>
      </c>
      <c r="E1339" s="67"/>
      <c r="F1339" t="s">
        <v>3599</v>
      </c>
      <c r="G1339" s="98"/>
      <c r="H1339" s="67"/>
      <c r="I1339" s="71"/>
      <c r="J1339" s="72">
        <v>650</v>
      </c>
      <c r="K1339" s="88" t="s">
        <v>17</v>
      </c>
      <c r="L1339" s="73"/>
      <c r="M1339" s="11" t="s">
        <v>31</v>
      </c>
    </row>
    <row r="1340" spans="2:13" x14ac:dyDescent="0.25">
      <c r="B1340" s="11" t="s">
        <v>3600</v>
      </c>
      <c r="C1340" s="105">
        <v>45699</v>
      </c>
      <c r="D1340" s="12" t="s">
        <v>3601</v>
      </c>
      <c r="E1340" s="67"/>
      <c r="F1340" s="12" t="s">
        <v>1781</v>
      </c>
      <c r="G1340" s="98"/>
      <c r="H1340" s="67"/>
      <c r="I1340" s="71"/>
      <c r="J1340" s="72">
        <v>472.5</v>
      </c>
      <c r="K1340" s="88" t="s">
        <v>461</v>
      </c>
      <c r="L1340" s="73"/>
      <c r="M1340" s="11" t="s">
        <v>18</v>
      </c>
    </row>
    <row r="1341" spans="2:13" x14ac:dyDescent="0.25">
      <c r="B1341" s="11" t="s">
        <v>3602</v>
      </c>
      <c r="C1341" s="105">
        <v>45699</v>
      </c>
      <c r="D1341" t="s">
        <v>429</v>
      </c>
      <c r="E1341" s="67"/>
      <c r="F1341" s="12" t="s">
        <v>1736</v>
      </c>
      <c r="G1341" s="98"/>
      <c r="H1341" s="67"/>
      <c r="I1341" s="71"/>
      <c r="J1341" s="72">
        <v>1081</v>
      </c>
      <c r="K1341" s="88" t="s">
        <v>17</v>
      </c>
      <c r="L1341" s="73"/>
      <c r="M1341" s="11" t="s">
        <v>18</v>
      </c>
    </row>
    <row r="1342" spans="2:13" x14ac:dyDescent="0.25">
      <c r="B1342" s="11" t="s">
        <v>3603</v>
      </c>
      <c r="C1342" s="105">
        <v>45699</v>
      </c>
      <c r="D1342" s="12" t="s">
        <v>3604</v>
      </c>
      <c r="E1342" s="67"/>
      <c r="F1342" s="12" t="s">
        <v>3605</v>
      </c>
      <c r="G1342" s="98"/>
      <c r="H1342" s="67"/>
      <c r="I1342" s="71"/>
      <c r="J1342" s="72">
        <v>500</v>
      </c>
      <c r="K1342" s="88" t="s">
        <v>17</v>
      </c>
      <c r="L1342" s="73"/>
      <c r="M1342" s="11" t="s">
        <v>18</v>
      </c>
    </row>
    <row r="1343" spans="2:13" x14ac:dyDescent="0.25">
      <c r="B1343" s="11" t="s">
        <v>3606</v>
      </c>
      <c r="C1343" s="105">
        <v>45699</v>
      </c>
      <c r="D1343" s="12" t="s">
        <v>3607</v>
      </c>
      <c r="E1343" s="67"/>
      <c r="F1343" s="12" t="s">
        <v>3608</v>
      </c>
      <c r="G1343" s="98"/>
      <c r="H1343" s="67"/>
      <c r="I1343" s="71"/>
      <c r="J1343" s="72">
        <v>6470</v>
      </c>
      <c r="K1343" s="88" t="s">
        <v>17</v>
      </c>
      <c r="L1343" s="73"/>
      <c r="M1343" s="11" t="s">
        <v>31</v>
      </c>
    </row>
    <row r="1344" spans="2:13" x14ac:dyDescent="0.25">
      <c r="B1344" s="11" t="s">
        <v>3609</v>
      </c>
      <c r="C1344" s="105">
        <v>45701</v>
      </c>
      <c r="D1344" s="12" t="s">
        <v>3610</v>
      </c>
      <c r="E1344" s="67"/>
      <c r="F1344" s="12" t="s">
        <v>3611</v>
      </c>
      <c r="G1344" s="98"/>
      <c r="H1344" s="67"/>
      <c r="I1344" s="71"/>
      <c r="J1344" s="72">
        <v>17847.5</v>
      </c>
      <c r="K1344" s="67" t="s">
        <v>17</v>
      </c>
      <c r="L1344" s="73"/>
      <c r="M1344" s="11" t="s">
        <v>31</v>
      </c>
    </row>
    <row r="1345" spans="2:13" x14ac:dyDescent="0.25">
      <c r="B1345" s="11" t="s">
        <v>3612</v>
      </c>
      <c r="C1345" s="105">
        <v>45707</v>
      </c>
      <c r="D1345" s="12" t="s">
        <v>1060</v>
      </c>
      <c r="E1345" s="67"/>
      <c r="F1345" s="12" t="s">
        <v>3613</v>
      </c>
      <c r="G1345" s="98"/>
      <c r="H1345" s="67"/>
      <c r="I1345" s="71"/>
      <c r="J1345" s="72">
        <v>3887</v>
      </c>
      <c r="K1345" s="67" t="s">
        <v>17</v>
      </c>
      <c r="L1345" s="73"/>
      <c r="M1345" s="11" t="s">
        <v>31</v>
      </c>
    </row>
    <row r="1346" spans="2:13" x14ac:dyDescent="0.25">
      <c r="B1346" s="11" t="s">
        <v>3614</v>
      </c>
      <c r="C1346" s="105">
        <v>45703</v>
      </c>
      <c r="D1346" s="12" t="s">
        <v>3615</v>
      </c>
      <c r="E1346" s="67"/>
      <c r="F1346" s="12" t="s">
        <v>3616</v>
      </c>
      <c r="G1346" s="98"/>
      <c r="H1346" s="67"/>
      <c r="I1346" s="71"/>
      <c r="J1346" s="72">
        <v>1310</v>
      </c>
      <c r="K1346" s="67" t="s">
        <v>1874</v>
      </c>
      <c r="L1346" s="73"/>
      <c r="M1346" s="11" t="s">
        <v>31</v>
      </c>
    </row>
    <row r="1347" spans="2:13" x14ac:dyDescent="0.25">
      <c r="B1347" s="11" t="s">
        <v>3617</v>
      </c>
      <c r="C1347" s="105">
        <v>45702</v>
      </c>
      <c r="D1347" s="12" t="s">
        <v>3618</v>
      </c>
      <c r="E1347" s="67"/>
      <c r="F1347" s="12" t="s">
        <v>3619</v>
      </c>
      <c r="G1347" s="98"/>
      <c r="H1347" s="67"/>
      <c r="I1347" s="71"/>
      <c r="J1347" s="72">
        <v>3040</v>
      </c>
      <c r="K1347" s="67" t="s">
        <v>17</v>
      </c>
      <c r="L1347" s="73"/>
      <c r="M1347" s="11" t="s">
        <v>18</v>
      </c>
    </row>
    <row r="1348" spans="2:13" x14ac:dyDescent="0.25">
      <c r="B1348" s="11" t="s">
        <v>3620</v>
      </c>
      <c r="C1348" s="105">
        <v>45702</v>
      </c>
      <c r="D1348" s="12" t="s">
        <v>426</v>
      </c>
      <c r="E1348" s="67"/>
      <c r="F1348" s="12" t="s">
        <v>3621</v>
      </c>
      <c r="G1348" s="98"/>
      <c r="H1348" s="67"/>
      <c r="I1348" s="71"/>
      <c r="J1348" s="72">
        <v>285</v>
      </c>
      <c r="K1348" s="67" t="s">
        <v>17</v>
      </c>
      <c r="L1348" s="73"/>
      <c r="M1348" s="11" t="s">
        <v>31</v>
      </c>
    </row>
    <row r="1349" spans="2:13" x14ac:dyDescent="0.25">
      <c r="B1349" s="11" t="s">
        <v>3622</v>
      </c>
      <c r="C1349" s="105">
        <v>45702</v>
      </c>
      <c r="D1349" s="12" t="s">
        <v>3623</v>
      </c>
      <c r="E1349" s="67"/>
      <c r="F1349" s="12" t="s">
        <v>3624</v>
      </c>
      <c r="G1349" s="98"/>
      <c r="H1349" s="67"/>
      <c r="I1349" s="71"/>
      <c r="J1349" s="72">
        <v>11482.5</v>
      </c>
      <c r="K1349" s="67" t="s">
        <v>3625</v>
      </c>
      <c r="L1349" s="73"/>
      <c r="M1349" s="11" t="s">
        <v>18</v>
      </c>
    </row>
    <row r="1350" spans="2:13" x14ac:dyDescent="0.25">
      <c r="B1350" s="11" t="s">
        <v>3626</v>
      </c>
      <c r="C1350" s="105">
        <v>45702</v>
      </c>
      <c r="D1350" s="12" t="s">
        <v>3291</v>
      </c>
      <c r="E1350" s="67"/>
      <c r="F1350" s="12" t="s">
        <v>3627</v>
      </c>
      <c r="G1350" s="98"/>
      <c r="H1350" s="67"/>
      <c r="I1350" s="71"/>
      <c r="J1350" s="72">
        <v>914</v>
      </c>
      <c r="K1350" s="67" t="s">
        <v>1874</v>
      </c>
      <c r="L1350" s="73"/>
      <c r="M1350" s="11" t="s">
        <v>18</v>
      </c>
    </row>
    <row r="1351" spans="2:13" x14ac:dyDescent="0.25">
      <c r="B1351" s="11" t="s">
        <v>3628</v>
      </c>
      <c r="C1351" s="105">
        <v>45705</v>
      </c>
      <c r="D1351" s="12" t="s">
        <v>170</v>
      </c>
      <c r="E1351" s="67"/>
      <c r="F1351" s="12" t="s">
        <v>965</v>
      </c>
      <c r="G1351" s="98"/>
      <c r="H1351" s="67"/>
      <c r="I1351" s="71"/>
      <c r="J1351" s="72">
        <v>2520</v>
      </c>
      <c r="K1351" s="67" t="s">
        <v>17</v>
      </c>
      <c r="L1351" s="73"/>
      <c r="M1351" s="11" t="s">
        <v>31</v>
      </c>
    </row>
    <row r="1352" spans="2:13" x14ac:dyDescent="0.25">
      <c r="B1352" s="11" t="s">
        <v>3629</v>
      </c>
      <c r="C1352" s="105">
        <v>45705</v>
      </c>
      <c r="D1352" s="12" t="s">
        <v>2097</v>
      </c>
      <c r="E1352" s="67"/>
      <c r="F1352" s="12" t="s">
        <v>1431</v>
      </c>
      <c r="G1352" s="98"/>
      <c r="H1352" s="67"/>
      <c r="I1352" s="71"/>
      <c r="J1352" s="72">
        <v>2975</v>
      </c>
      <c r="K1352" s="67" t="s">
        <v>17</v>
      </c>
      <c r="L1352" s="73"/>
      <c r="M1352" s="11" t="s">
        <v>18</v>
      </c>
    </row>
    <row r="1353" spans="2:13" x14ac:dyDescent="0.25">
      <c r="B1353" s="11" t="s">
        <v>3630</v>
      </c>
      <c r="C1353" s="105">
        <v>45705</v>
      </c>
      <c r="D1353" s="12" t="s">
        <v>115</v>
      </c>
      <c r="E1353" s="67"/>
      <c r="F1353" s="12" t="s">
        <v>1993</v>
      </c>
      <c r="G1353" s="98"/>
      <c r="H1353" s="67"/>
      <c r="I1353" s="71"/>
      <c r="J1353" s="72">
        <v>875</v>
      </c>
      <c r="K1353" s="67" t="s">
        <v>17</v>
      </c>
      <c r="L1353" s="73"/>
      <c r="M1353" s="11" t="s">
        <v>18</v>
      </c>
    </row>
    <row r="1354" spans="2:13" x14ac:dyDescent="0.25">
      <c r="B1354" s="11" t="s">
        <v>3631</v>
      </c>
      <c r="C1354" s="105">
        <v>45708</v>
      </c>
      <c r="D1354" t="s">
        <v>639</v>
      </c>
      <c r="E1354" s="67"/>
      <c r="F1354" s="12" t="s">
        <v>3632</v>
      </c>
      <c r="G1354" s="98"/>
      <c r="H1354" s="67"/>
      <c r="I1354" s="71"/>
      <c r="J1354" s="72">
        <v>360</v>
      </c>
      <c r="K1354" s="67" t="s">
        <v>17</v>
      </c>
      <c r="L1354" s="73"/>
      <c r="M1354" s="11" t="s">
        <v>31</v>
      </c>
    </row>
    <row r="1355" spans="2:13" x14ac:dyDescent="0.25">
      <c r="B1355" s="11" t="s">
        <v>3633</v>
      </c>
      <c r="C1355" s="105">
        <v>45707</v>
      </c>
      <c r="D1355" s="12" t="s">
        <v>3634</v>
      </c>
      <c r="E1355" s="67"/>
      <c r="F1355" s="12" t="s">
        <v>3635</v>
      </c>
      <c r="G1355" s="98"/>
      <c r="H1355" s="67"/>
      <c r="I1355" s="71"/>
      <c r="J1355" s="72">
        <v>1000</v>
      </c>
      <c r="K1355" s="88" t="s">
        <v>3239</v>
      </c>
      <c r="L1355" s="73"/>
      <c r="M1355" s="11" t="s">
        <v>18</v>
      </c>
    </row>
    <row r="1356" spans="2:13" x14ac:dyDescent="0.25">
      <c r="B1356" s="11" t="s">
        <v>3636</v>
      </c>
      <c r="C1356" s="105">
        <v>45707</v>
      </c>
      <c r="D1356" s="12" t="s">
        <v>1060</v>
      </c>
      <c r="E1356" s="67"/>
      <c r="F1356" s="12" t="s">
        <v>3637</v>
      </c>
      <c r="G1356" s="98"/>
      <c r="H1356" s="67"/>
      <c r="I1356" s="71"/>
      <c r="J1356" s="72">
        <v>3263</v>
      </c>
      <c r="K1356" s="67" t="s">
        <v>17</v>
      </c>
      <c r="L1356" s="73"/>
      <c r="M1356" s="11" t="s">
        <v>31</v>
      </c>
    </row>
    <row r="1357" spans="2:13" x14ac:dyDescent="0.25">
      <c r="B1357" s="11" t="s">
        <v>3638</v>
      </c>
      <c r="C1357" s="120">
        <v>45708</v>
      </c>
      <c r="D1357" s="12" t="s">
        <v>346</v>
      </c>
      <c r="E1357" s="67"/>
      <c r="F1357" s="12" t="s">
        <v>289</v>
      </c>
      <c r="G1357" s="98"/>
      <c r="H1357" s="67"/>
      <c r="I1357" s="71"/>
      <c r="J1357" s="72">
        <v>210</v>
      </c>
      <c r="K1357" s="67" t="s">
        <v>17</v>
      </c>
      <c r="L1357" s="73"/>
      <c r="M1357" s="11" t="s">
        <v>31</v>
      </c>
    </row>
    <row r="1358" spans="2:13" x14ac:dyDescent="0.25">
      <c r="B1358" s="11" t="s">
        <v>3639</v>
      </c>
      <c r="C1358" s="120">
        <v>45709</v>
      </c>
      <c r="D1358" s="12" t="s">
        <v>2794</v>
      </c>
      <c r="E1358" s="67"/>
      <c r="F1358" s="12" t="s">
        <v>3640</v>
      </c>
      <c r="G1358" s="98"/>
      <c r="H1358" s="67"/>
      <c r="I1358" s="71"/>
      <c r="J1358" s="72">
        <v>1445</v>
      </c>
      <c r="K1358" s="67" t="s">
        <v>17</v>
      </c>
      <c r="L1358" s="73"/>
      <c r="M1358" s="11" t="s">
        <v>31</v>
      </c>
    </row>
    <row r="1359" spans="2:13" x14ac:dyDescent="0.25">
      <c r="B1359" s="11" t="s">
        <v>3641</v>
      </c>
      <c r="C1359" s="148">
        <v>45712</v>
      </c>
      <c r="D1359" s="12" t="s">
        <v>1060</v>
      </c>
      <c r="E1359" s="67"/>
      <c r="F1359" s="12" t="s">
        <v>3642</v>
      </c>
      <c r="G1359" s="98"/>
      <c r="H1359" s="67"/>
      <c r="I1359" s="71"/>
      <c r="J1359" s="72">
        <v>562.5</v>
      </c>
      <c r="K1359" s="67" t="s">
        <v>17</v>
      </c>
      <c r="L1359" s="73"/>
      <c r="M1359" s="11" t="s">
        <v>31</v>
      </c>
    </row>
    <row r="1360" spans="2:13" x14ac:dyDescent="0.25">
      <c r="B1360" s="11" t="s">
        <v>3643</v>
      </c>
      <c r="C1360" s="120">
        <v>45712</v>
      </c>
      <c r="D1360" s="12" t="s">
        <v>154</v>
      </c>
      <c r="E1360" s="67"/>
      <c r="F1360" s="12" t="s">
        <v>3644</v>
      </c>
      <c r="G1360" s="98"/>
      <c r="H1360" s="67"/>
      <c r="I1360" s="71"/>
      <c r="J1360" s="72">
        <v>615</v>
      </c>
      <c r="K1360" s="88" t="s">
        <v>3239</v>
      </c>
      <c r="L1360" s="73"/>
      <c r="M1360" s="11" t="s">
        <v>18</v>
      </c>
    </row>
    <row r="1361" spans="2:13" x14ac:dyDescent="0.25">
      <c r="B1361" s="11" t="s">
        <v>3645</v>
      </c>
      <c r="C1361" s="120">
        <v>45713</v>
      </c>
      <c r="D1361" s="12" t="s">
        <v>3646</v>
      </c>
      <c r="E1361" s="67"/>
      <c r="F1361" s="12" t="s">
        <v>3647</v>
      </c>
      <c r="G1361" s="98"/>
      <c r="H1361" s="67"/>
      <c r="I1361" s="71"/>
      <c r="J1361" s="72">
        <v>825</v>
      </c>
      <c r="K1361" s="88" t="s">
        <v>3239</v>
      </c>
      <c r="L1361" s="73"/>
      <c r="M1361" s="11" t="s">
        <v>31</v>
      </c>
    </row>
    <row r="1362" spans="2:13" x14ac:dyDescent="0.25">
      <c r="B1362" s="11" t="s">
        <v>3648</v>
      </c>
      <c r="C1362" s="120">
        <v>45713</v>
      </c>
      <c r="D1362" s="12" t="s">
        <v>1722</v>
      </c>
      <c r="E1362" s="67"/>
      <c r="F1362" s="12" t="s">
        <v>3649</v>
      </c>
      <c r="G1362" s="98"/>
      <c r="H1362" s="67"/>
      <c r="I1362" s="71"/>
      <c r="J1362" s="72">
        <v>730</v>
      </c>
      <c r="K1362" s="88" t="s">
        <v>17</v>
      </c>
      <c r="L1362" s="73"/>
      <c r="M1362" s="11" t="s">
        <v>31</v>
      </c>
    </row>
    <row r="1363" spans="2:13" x14ac:dyDescent="0.25">
      <c r="B1363" s="11" t="s">
        <v>3650</v>
      </c>
      <c r="C1363" s="120">
        <v>45716</v>
      </c>
      <c r="D1363" s="12" t="s">
        <v>27</v>
      </c>
      <c r="E1363" s="67"/>
      <c r="F1363" s="12" t="s">
        <v>3651</v>
      </c>
      <c r="G1363" s="98"/>
      <c r="H1363" s="67"/>
      <c r="I1363" s="71"/>
      <c r="J1363" s="72">
        <v>2850</v>
      </c>
      <c r="K1363" s="88" t="s">
        <v>17</v>
      </c>
      <c r="L1363" s="73"/>
      <c r="M1363" s="11" t="s">
        <v>31</v>
      </c>
    </row>
    <row r="1364" spans="2:13" x14ac:dyDescent="0.25">
      <c r="B1364" s="11" t="s">
        <v>3652</v>
      </c>
      <c r="C1364" s="120">
        <v>45714</v>
      </c>
      <c r="D1364" s="12" t="s">
        <v>1302</v>
      </c>
      <c r="E1364" s="67"/>
      <c r="F1364" s="12" t="s">
        <v>3653</v>
      </c>
      <c r="G1364" s="98"/>
      <c r="H1364" s="67"/>
      <c r="I1364" s="71"/>
      <c r="J1364" s="72">
        <v>750</v>
      </c>
      <c r="K1364" s="88" t="s">
        <v>17</v>
      </c>
      <c r="L1364" s="73"/>
      <c r="M1364" s="11" t="s">
        <v>31</v>
      </c>
    </row>
    <row r="1365" spans="2:13" x14ac:dyDescent="0.25">
      <c r="B1365" s="11" t="s">
        <v>3654</v>
      </c>
      <c r="C1365" s="120">
        <v>45716</v>
      </c>
      <c r="D1365" s="12" t="s">
        <v>3655</v>
      </c>
      <c r="E1365" s="67"/>
      <c r="F1365" s="12" t="s">
        <v>3656</v>
      </c>
      <c r="G1365" s="98"/>
      <c r="H1365" s="67"/>
      <c r="I1365" s="71"/>
      <c r="J1365" s="72">
        <v>6525</v>
      </c>
      <c r="K1365" s="88" t="s">
        <v>3239</v>
      </c>
      <c r="L1365" s="73"/>
      <c r="M1365" s="11" t="s">
        <v>18</v>
      </c>
    </row>
    <row r="1366" spans="2:13" x14ac:dyDescent="0.25">
      <c r="B1366" s="11" t="s">
        <v>3657</v>
      </c>
      <c r="C1366" s="120">
        <v>45715</v>
      </c>
      <c r="D1366" s="12" t="s">
        <v>3658</v>
      </c>
      <c r="E1366" s="67"/>
      <c r="F1366" s="12" t="s">
        <v>3659</v>
      </c>
      <c r="G1366" s="98"/>
      <c r="H1366" s="67"/>
      <c r="I1366" s="71"/>
      <c r="J1366" s="72">
        <v>775</v>
      </c>
      <c r="K1366" s="88" t="s">
        <v>1874</v>
      </c>
      <c r="L1366" s="73"/>
      <c r="M1366" s="11" t="s">
        <v>18</v>
      </c>
    </row>
    <row r="1367" spans="2:13" x14ac:dyDescent="0.25">
      <c r="B1367" s="11" t="s">
        <v>3660</v>
      </c>
      <c r="C1367" s="105">
        <v>45722</v>
      </c>
      <c r="D1367" s="102" t="s">
        <v>3661</v>
      </c>
      <c r="E1367" s="67"/>
      <c r="F1367" s="102" t="s">
        <v>3662</v>
      </c>
      <c r="G1367" s="98"/>
      <c r="H1367" s="67"/>
      <c r="I1367" s="71"/>
      <c r="J1367" s="72">
        <v>9716.5</v>
      </c>
      <c r="K1367" s="88" t="s">
        <v>17</v>
      </c>
      <c r="L1367" s="73"/>
      <c r="M1367" s="11" t="s">
        <v>31</v>
      </c>
    </row>
    <row r="1368" spans="2:13" x14ac:dyDescent="0.25">
      <c r="B1368" s="11" t="s">
        <v>3663</v>
      </c>
      <c r="C1368" s="120">
        <v>45721</v>
      </c>
      <c r="D1368" s="12" t="s">
        <v>3664</v>
      </c>
      <c r="E1368" s="136"/>
      <c r="F1368" s="12" t="s">
        <v>3665</v>
      </c>
      <c r="G1368" s="137"/>
      <c r="H1368" s="67"/>
      <c r="I1368" s="71"/>
      <c r="J1368" s="72">
        <v>785</v>
      </c>
      <c r="K1368" s="88" t="s">
        <v>3239</v>
      </c>
      <c r="L1368" s="73"/>
      <c r="M1368" s="11" t="s">
        <v>18</v>
      </c>
    </row>
    <row r="1369" spans="2:13" x14ac:dyDescent="0.25">
      <c r="B1369" s="11" t="s">
        <v>3666</v>
      </c>
      <c r="C1369" s="120">
        <v>45715</v>
      </c>
      <c r="D1369" s="12" t="s">
        <v>3530</v>
      </c>
      <c r="E1369" s="136"/>
      <c r="F1369" s="12" t="s">
        <v>3667</v>
      </c>
      <c r="G1369" s="137"/>
      <c r="H1369" s="67"/>
      <c r="I1369" s="71"/>
      <c r="J1369" s="72">
        <v>8975</v>
      </c>
      <c r="K1369" s="88" t="s">
        <v>17</v>
      </c>
      <c r="L1369" s="73"/>
      <c r="M1369" s="11" t="s">
        <v>18</v>
      </c>
    </row>
    <row r="1370" spans="2:13" x14ac:dyDescent="0.25">
      <c r="B1370" s="11" t="s">
        <v>3668</v>
      </c>
      <c r="C1370" s="120">
        <v>45716</v>
      </c>
      <c r="D1370" s="12" t="s">
        <v>1043</v>
      </c>
      <c r="E1370" s="67"/>
      <c r="F1370" t="s">
        <v>1247</v>
      </c>
      <c r="G1370" s="98"/>
      <c r="H1370" s="67"/>
      <c r="I1370" s="71"/>
      <c r="J1370" s="72">
        <v>365</v>
      </c>
      <c r="K1370" s="88" t="s">
        <v>1874</v>
      </c>
      <c r="L1370" s="73"/>
      <c r="M1370" s="11" t="s">
        <v>31</v>
      </c>
    </row>
    <row r="1371" spans="2:13" x14ac:dyDescent="0.25">
      <c r="B1371" s="11" t="s">
        <v>3669</v>
      </c>
      <c r="C1371" s="120">
        <v>45717</v>
      </c>
      <c r="D1371" s="12" t="s">
        <v>3670</v>
      </c>
      <c r="F1371" s="12" t="s">
        <v>511</v>
      </c>
      <c r="J1371" s="144">
        <v>475</v>
      </c>
      <c r="K1371" s="88" t="s">
        <v>3239</v>
      </c>
      <c r="M1371" s="11" t="s">
        <v>18</v>
      </c>
    </row>
    <row r="1372" spans="2:13" x14ac:dyDescent="0.25">
      <c r="B1372" s="11" t="s">
        <v>3671</v>
      </c>
      <c r="C1372" s="105">
        <v>45717</v>
      </c>
      <c r="D1372" t="s">
        <v>3672</v>
      </c>
      <c r="E1372" s="67"/>
      <c r="F1372" s="147" t="s">
        <v>3673</v>
      </c>
      <c r="G1372" s="98"/>
      <c r="H1372" s="67"/>
      <c r="I1372" s="71"/>
      <c r="J1372" s="72">
        <v>110</v>
      </c>
      <c r="K1372" s="88" t="s">
        <v>3239</v>
      </c>
      <c r="L1372" s="73"/>
      <c r="M1372" s="11" t="s">
        <v>18</v>
      </c>
    </row>
    <row r="1373" spans="2:13" x14ac:dyDescent="0.25">
      <c r="B1373" s="11" t="s">
        <v>3674</v>
      </c>
      <c r="C1373" s="120">
        <v>45719</v>
      </c>
      <c r="D1373" s="12" t="s">
        <v>3675</v>
      </c>
      <c r="E1373" s="136"/>
      <c r="F1373" s="12" t="s">
        <v>3676</v>
      </c>
      <c r="G1373" s="137"/>
      <c r="H1373" s="67"/>
      <c r="I1373" s="71"/>
      <c r="J1373" s="72">
        <v>537</v>
      </c>
      <c r="K1373" s="88" t="s">
        <v>1874</v>
      </c>
      <c r="L1373" s="73"/>
      <c r="M1373" s="11" t="s">
        <v>31</v>
      </c>
    </row>
    <row r="1374" spans="2:13" x14ac:dyDescent="0.25">
      <c r="B1374" s="11" t="s">
        <v>3677</v>
      </c>
      <c r="C1374" s="120">
        <v>45719</v>
      </c>
      <c r="D1374" s="12" t="s">
        <v>429</v>
      </c>
      <c r="E1374" s="136"/>
      <c r="F1374" s="12" t="s">
        <v>1112</v>
      </c>
      <c r="G1374" s="137"/>
      <c r="H1374" s="67"/>
      <c r="I1374" s="71"/>
      <c r="J1374" s="72">
        <v>360</v>
      </c>
      <c r="K1374" s="88" t="s">
        <v>17</v>
      </c>
      <c r="L1374" s="73"/>
      <c r="M1374" s="11" t="s">
        <v>31</v>
      </c>
    </row>
    <row r="1375" spans="2:13" x14ac:dyDescent="0.25">
      <c r="B1375" s="11" t="s">
        <v>3678</v>
      </c>
      <c r="C1375" s="120">
        <v>45728</v>
      </c>
      <c r="D1375" s="12" t="s">
        <v>3486</v>
      </c>
      <c r="E1375" s="136"/>
      <c r="F1375" s="12" t="s">
        <v>3679</v>
      </c>
      <c r="G1375" s="137"/>
      <c r="H1375" s="67"/>
      <c r="I1375" s="71"/>
      <c r="J1375" s="72">
        <v>1110</v>
      </c>
      <c r="K1375" s="88" t="s">
        <v>1874</v>
      </c>
      <c r="L1375" s="73"/>
      <c r="M1375" s="11" t="s">
        <v>31</v>
      </c>
    </row>
    <row r="1376" spans="2:13" x14ac:dyDescent="0.25">
      <c r="B1376" s="11" t="s">
        <v>3680</v>
      </c>
      <c r="C1376" s="120">
        <v>45719</v>
      </c>
      <c r="D1376" s="147" t="s">
        <v>3416</v>
      </c>
      <c r="E1376" s="67"/>
      <c r="F1376" t="s">
        <v>3417</v>
      </c>
      <c r="G1376" s="98"/>
      <c r="H1376" s="67"/>
      <c r="I1376" s="71"/>
      <c r="J1376" s="72">
        <v>2400</v>
      </c>
      <c r="K1376" s="88" t="s">
        <v>3239</v>
      </c>
      <c r="L1376" s="73"/>
      <c r="M1376" s="11" t="s">
        <v>31</v>
      </c>
    </row>
    <row r="1377" spans="2:13" x14ac:dyDescent="0.25">
      <c r="B1377" s="11" t="s">
        <v>3681</v>
      </c>
      <c r="C1377" s="105">
        <v>45720</v>
      </c>
      <c r="D1377" s="12" t="s">
        <v>241</v>
      </c>
      <c r="E1377" s="67"/>
      <c r="F1377" s="12" t="s">
        <v>3682</v>
      </c>
      <c r="G1377" s="98"/>
      <c r="H1377" s="67"/>
      <c r="I1377" s="71"/>
      <c r="J1377" s="72">
        <v>405</v>
      </c>
      <c r="K1377" s="88" t="s">
        <v>17</v>
      </c>
      <c r="L1377" s="73"/>
      <c r="M1377" s="11" t="s">
        <v>31</v>
      </c>
    </row>
    <row r="1378" spans="2:13" x14ac:dyDescent="0.25">
      <c r="B1378" s="11" t="s">
        <v>3683</v>
      </c>
      <c r="C1378" s="105">
        <v>45721</v>
      </c>
      <c r="D1378" s="12" t="s">
        <v>211</v>
      </c>
      <c r="E1378" s="67"/>
      <c r="F1378" s="12" t="s">
        <v>3684</v>
      </c>
      <c r="G1378" s="98"/>
      <c r="H1378" s="67"/>
      <c r="I1378" s="71"/>
      <c r="J1378" s="72">
        <v>1200</v>
      </c>
      <c r="K1378" s="88" t="s">
        <v>17</v>
      </c>
      <c r="L1378" s="73"/>
      <c r="M1378" s="11" t="s">
        <v>31</v>
      </c>
    </row>
    <row r="1379" spans="2:13" x14ac:dyDescent="0.25">
      <c r="B1379" s="11" t="s">
        <v>3685</v>
      </c>
      <c r="C1379" s="105">
        <v>45721</v>
      </c>
      <c r="D1379" s="12" t="s">
        <v>3367</v>
      </c>
      <c r="E1379" s="67"/>
      <c r="F1379" s="12" t="s">
        <v>3686</v>
      </c>
      <c r="G1379" s="98"/>
      <c r="H1379" s="67"/>
      <c r="I1379" s="71"/>
      <c r="J1379" s="72">
        <v>120</v>
      </c>
      <c r="K1379" s="88" t="s">
        <v>17</v>
      </c>
      <c r="L1379" s="73"/>
      <c r="M1379" s="11" t="s">
        <v>31</v>
      </c>
    </row>
    <row r="1380" spans="2:13" x14ac:dyDescent="0.25">
      <c r="B1380" s="11" t="s">
        <v>3687</v>
      </c>
      <c r="C1380" s="105">
        <v>45721</v>
      </c>
      <c r="D1380" t="s">
        <v>2794</v>
      </c>
      <c r="E1380" s="67"/>
      <c r="F1380" t="s">
        <v>3688</v>
      </c>
      <c r="G1380" s="98"/>
      <c r="H1380" s="67"/>
      <c r="I1380" s="71"/>
      <c r="J1380" s="72">
        <v>412.5</v>
      </c>
      <c r="K1380" s="88" t="s">
        <v>17</v>
      </c>
      <c r="L1380" s="73"/>
      <c r="M1380" s="11" t="s">
        <v>18</v>
      </c>
    </row>
    <row r="1381" spans="2:13" x14ac:dyDescent="0.25">
      <c r="B1381" s="11" t="s">
        <v>3689</v>
      </c>
      <c r="C1381" s="105">
        <v>45721</v>
      </c>
      <c r="D1381" s="12" t="s">
        <v>3690</v>
      </c>
      <c r="E1381" s="67"/>
      <c r="F1381" s="12" t="s">
        <v>3691</v>
      </c>
      <c r="G1381" s="98"/>
      <c r="H1381" s="67"/>
      <c r="I1381" s="71"/>
      <c r="J1381" s="65">
        <v>1970</v>
      </c>
      <c r="K1381" s="88" t="s">
        <v>3239</v>
      </c>
      <c r="L1381" s="73"/>
      <c r="M1381" s="11" t="s">
        <v>18</v>
      </c>
    </row>
    <row r="1382" spans="2:13" x14ac:dyDescent="0.25">
      <c r="B1382" s="11" t="s">
        <v>3692</v>
      </c>
      <c r="C1382" s="105">
        <v>45721</v>
      </c>
      <c r="D1382" s="12" t="s">
        <v>115</v>
      </c>
      <c r="E1382" s="67"/>
      <c r="F1382" s="12" t="s">
        <v>2059</v>
      </c>
      <c r="G1382" s="98"/>
      <c r="H1382" s="67"/>
      <c r="I1382" s="71"/>
      <c r="J1382" s="72">
        <v>1500</v>
      </c>
      <c r="K1382" s="88" t="s">
        <v>17</v>
      </c>
      <c r="L1382" s="73"/>
      <c r="M1382" s="11" t="s">
        <v>31</v>
      </c>
    </row>
    <row r="1383" spans="2:13" x14ac:dyDescent="0.25">
      <c r="B1383" s="11" t="s">
        <v>3693</v>
      </c>
      <c r="C1383" s="105">
        <v>45728</v>
      </c>
      <c r="D1383" s="12" t="s">
        <v>429</v>
      </c>
      <c r="E1383" s="67"/>
      <c r="F1383" s="12" t="s">
        <v>3694</v>
      </c>
      <c r="G1383" s="98"/>
      <c r="H1383" s="67"/>
      <c r="I1383" s="71"/>
      <c r="J1383" s="72">
        <v>4322.5</v>
      </c>
      <c r="K1383" s="88" t="s">
        <v>17</v>
      </c>
      <c r="L1383" s="73"/>
      <c r="M1383" s="11" t="s">
        <v>31</v>
      </c>
    </row>
    <row r="1384" spans="2:13" x14ac:dyDescent="0.25">
      <c r="B1384" s="11" t="s">
        <v>3695</v>
      </c>
      <c r="C1384" s="105">
        <v>45721</v>
      </c>
      <c r="D1384" s="102" t="s">
        <v>241</v>
      </c>
      <c r="E1384" s="67"/>
      <c r="F1384" s="102" t="s">
        <v>28</v>
      </c>
      <c r="G1384" s="98"/>
      <c r="H1384" s="67"/>
      <c r="I1384" s="71"/>
      <c r="J1384" s="72">
        <v>563.5</v>
      </c>
      <c r="K1384" s="88" t="s">
        <v>17</v>
      </c>
      <c r="L1384" s="73"/>
      <c r="M1384" s="11" t="s">
        <v>31</v>
      </c>
    </row>
    <row r="1385" spans="2:13" x14ac:dyDescent="0.25">
      <c r="B1385" s="11" t="s">
        <v>3696</v>
      </c>
      <c r="C1385" s="105">
        <v>45721</v>
      </c>
      <c r="D1385" s="12" t="s">
        <v>211</v>
      </c>
      <c r="E1385" s="67"/>
      <c r="F1385" s="12" t="s">
        <v>3697</v>
      </c>
      <c r="G1385" s="98"/>
      <c r="H1385" s="67"/>
      <c r="I1385" s="71"/>
      <c r="J1385" s="72">
        <v>5850</v>
      </c>
      <c r="K1385" s="88" t="s">
        <v>17</v>
      </c>
      <c r="L1385" s="73"/>
      <c r="M1385" s="11" t="s">
        <v>3698</v>
      </c>
    </row>
    <row r="1386" spans="2:13" x14ac:dyDescent="0.25">
      <c r="B1386" s="11" t="s">
        <v>3699</v>
      </c>
      <c r="C1386" s="105">
        <v>45722</v>
      </c>
      <c r="D1386" s="12" t="s">
        <v>392</v>
      </c>
      <c r="E1386" s="67"/>
      <c r="F1386" s="12" t="s">
        <v>1502</v>
      </c>
      <c r="G1386" s="98"/>
      <c r="H1386" s="67"/>
      <c r="I1386" s="71"/>
      <c r="J1386" s="72">
        <v>16000</v>
      </c>
      <c r="K1386" s="88" t="s">
        <v>3239</v>
      </c>
      <c r="L1386" s="73"/>
      <c r="M1386" s="11" t="s">
        <v>31</v>
      </c>
    </row>
    <row r="1387" spans="2:13" x14ac:dyDescent="0.25">
      <c r="B1387" s="11" t="s">
        <v>3700</v>
      </c>
      <c r="C1387" s="105">
        <v>45722</v>
      </c>
      <c r="D1387" s="12" t="s">
        <v>1302</v>
      </c>
      <c r="E1387" s="67"/>
      <c r="F1387" s="12" t="s">
        <v>3701</v>
      </c>
      <c r="G1387" s="98"/>
      <c r="H1387" s="67"/>
      <c r="I1387" s="71"/>
      <c r="J1387" s="72">
        <v>1350</v>
      </c>
      <c r="K1387" s="88" t="s">
        <v>3239</v>
      </c>
      <c r="L1387" s="73"/>
      <c r="M1387" s="11" t="s">
        <v>31</v>
      </c>
    </row>
    <row r="1388" spans="2:13" x14ac:dyDescent="0.25">
      <c r="B1388" s="11" t="s">
        <v>3702</v>
      </c>
      <c r="C1388" s="105">
        <v>45722</v>
      </c>
      <c r="D1388" s="12" t="s">
        <v>3615</v>
      </c>
      <c r="E1388" s="67"/>
      <c r="F1388" s="12" t="s">
        <v>3703</v>
      </c>
      <c r="G1388" s="98"/>
      <c r="H1388" s="67"/>
      <c r="I1388" s="71"/>
      <c r="J1388" s="72">
        <v>2650</v>
      </c>
      <c r="K1388" s="88" t="s">
        <v>1874</v>
      </c>
      <c r="L1388" s="73"/>
      <c r="M1388" s="11" t="s">
        <v>18</v>
      </c>
    </row>
    <row r="1389" spans="2:13" x14ac:dyDescent="0.25">
      <c r="B1389" s="11" t="s">
        <v>3704</v>
      </c>
      <c r="C1389" s="105">
        <v>45722</v>
      </c>
      <c r="D1389" s="12" t="s">
        <v>3705</v>
      </c>
      <c r="E1389" s="67"/>
      <c r="F1389" s="12" t="s">
        <v>3706</v>
      </c>
      <c r="G1389" s="98"/>
      <c r="H1389" s="67"/>
      <c r="I1389" s="71"/>
      <c r="J1389" s="72">
        <v>662.5</v>
      </c>
      <c r="K1389" s="88" t="s">
        <v>1874</v>
      </c>
      <c r="L1389" s="73"/>
      <c r="M1389" s="11" t="s">
        <v>18</v>
      </c>
    </row>
    <row r="1390" spans="2:13" ht="13.5" customHeight="1" x14ac:dyDescent="0.25">
      <c r="B1390" s="11" t="s">
        <v>3707</v>
      </c>
      <c r="C1390" s="105">
        <v>45723</v>
      </c>
      <c r="D1390" s="12" t="s">
        <v>3708</v>
      </c>
      <c r="E1390" s="67"/>
      <c r="F1390" s="12" t="s">
        <v>3709</v>
      </c>
      <c r="G1390" s="98"/>
      <c r="H1390" s="67"/>
      <c r="I1390" s="71"/>
      <c r="J1390" s="72">
        <v>11550</v>
      </c>
      <c r="K1390" s="88" t="s">
        <v>1874</v>
      </c>
      <c r="L1390" s="73"/>
      <c r="M1390" s="11" t="s">
        <v>18</v>
      </c>
    </row>
    <row r="1391" spans="2:13" ht="14.25" customHeight="1" x14ac:dyDescent="0.25">
      <c r="B1391" s="11" t="s">
        <v>3710</v>
      </c>
      <c r="C1391" s="105">
        <v>45723</v>
      </c>
      <c r="D1391" s="12" t="s">
        <v>2584</v>
      </c>
      <c r="E1391" s="67"/>
      <c r="F1391" s="12" t="s">
        <v>3711</v>
      </c>
      <c r="G1391" s="98"/>
      <c r="H1391" s="67"/>
      <c r="I1391" s="71"/>
      <c r="J1391" s="72">
        <v>110</v>
      </c>
      <c r="K1391" s="88" t="s">
        <v>3239</v>
      </c>
      <c r="L1391" s="73"/>
      <c r="M1391" s="11" t="s">
        <v>31</v>
      </c>
    </row>
    <row r="1392" spans="2:13" x14ac:dyDescent="0.25">
      <c r="B1392" s="11" t="s">
        <v>3712</v>
      </c>
      <c r="C1392" s="120">
        <v>45723</v>
      </c>
      <c r="D1392" s="12" t="s">
        <v>429</v>
      </c>
      <c r="E1392" s="136"/>
      <c r="F1392" s="12" t="s">
        <v>738</v>
      </c>
      <c r="G1392" s="137"/>
      <c r="H1392" s="67"/>
      <c r="I1392" s="71"/>
      <c r="J1392" s="72">
        <v>265</v>
      </c>
      <c r="K1392" s="88" t="s">
        <v>17</v>
      </c>
      <c r="L1392" s="73"/>
      <c r="M1392" s="11" t="s">
        <v>18</v>
      </c>
    </row>
    <row r="1393" spans="2:13" x14ac:dyDescent="0.25">
      <c r="B1393" s="11" t="s">
        <v>3713</v>
      </c>
      <c r="C1393" s="120">
        <v>45733</v>
      </c>
      <c r="D1393" s="12" t="s">
        <v>115</v>
      </c>
      <c r="E1393" s="136"/>
      <c r="F1393" s="12" t="s">
        <v>3714</v>
      </c>
      <c r="G1393" s="137"/>
      <c r="H1393" s="67"/>
      <c r="I1393" s="71"/>
      <c r="J1393" s="72">
        <v>3665.4</v>
      </c>
      <c r="K1393" s="88" t="s">
        <v>17</v>
      </c>
      <c r="L1393" s="73"/>
      <c r="M1393" s="11" t="s">
        <v>31</v>
      </c>
    </row>
    <row r="1394" spans="2:13" x14ac:dyDescent="0.25">
      <c r="B1394" s="149" t="s">
        <v>3715</v>
      </c>
      <c r="C1394" s="105">
        <v>45726</v>
      </c>
      <c r="D1394" s="12" t="s">
        <v>2354</v>
      </c>
      <c r="E1394" s="136"/>
      <c r="F1394" s="12" t="s">
        <v>1146</v>
      </c>
      <c r="G1394" s="137"/>
      <c r="H1394" s="67"/>
      <c r="I1394" s="71"/>
      <c r="J1394" s="72">
        <v>120</v>
      </c>
      <c r="K1394" s="88" t="s">
        <v>17</v>
      </c>
      <c r="L1394" s="73"/>
      <c r="M1394" s="11" t="s">
        <v>31</v>
      </c>
    </row>
    <row r="1395" spans="2:13" x14ac:dyDescent="0.25">
      <c r="B1395" s="149" t="s">
        <v>3716</v>
      </c>
      <c r="C1395" s="105">
        <v>45727</v>
      </c>
      <c r="D1395" s="12" t="s">
        <v>3661</v>
      </c>
      <c r="E1395" s="136"/>
      <c r="F1395" s="12" t="s">
        <v>3717</v>
      </c>
      <c r="G1395" s="137"/>
      <c r="H1395" s="67"/>
      <c r="I1395" s="71"/>
      <c r="J1395" s="72">
        <v>190</v>
      </c>
      <c r="K1395" s="88" t="s">
        <v>17</v>
      </c>
      <c r="L1395" s="73"/>
      <c r="M1395" s="11" t="s">
        <v>31</v>
      </c>
    </row>
    <row r="1396" spans="2:13" x14ac:dyDescent="0.25">
      <c r="B1396" s="149" t="s">
        <v>3718</v>
      </c>
      <c r="C1396" s="105">
        <v>45727</v>
      </c>
      <c r="D1396" s="12" t="s">
        <v>241</v>
      </c>
      <c r="E1396" s="136"/>
      <c r="F1396" s="12" t="s">
        <v>3719</v>
      </c>
      <c r="G1396" s="137"/>
      <c r="H1396" s="67"/>
      <c r="I1396" s="71"/>
      <c r="J1396" s="72">
        <v>405</v>
      </c>
      <c r="K1396" s="88" t="s">
        <v>17</v>
      </c>
      <c r="L1396" s="73"/>
      <c r="M1396" s="11" t="s">
        <v>31</v>
      </c>
    </row>
    <row r="1397" spans="2:13" x14ac:dyDescent="0.25">
      <c r="B1397" s="149" t="s">
        <v>3720</v>
      </c>
      <c r="C1397" s="105">
        <v>45727</v>
      </c>
      <c r="D1397" s="12" t="s">
        <v>639</v>
      </c>
      <c r="E1397" s="136"/>
      <c r="F1397" s="12" t="s">
        <v>3721</v>
      </c>
      <c r="G1397" s="137"/>
      <c r="H1397" s="67"/>
      <c r="I1397" s="71"/>
      <c r="J1397" s="72">
        <v>5125</v>
      </c>
      <c r="K1397" s="88" t="s">
        <v>17</v>
      </c>
      <c r="L1397" s="73"/>
      <c r="M1397" s="11" t="s">
        <v>31</v>
      </c>
    </row>
    <row r="1398" spans="2:13" x14ac:dyDescent="0.25">
      <c r="B1398" s="149" t="s">
        <v>3722</v>
      </c>
      <c r="C1398" s="105">
        <v>45727</v>
      </c>
      <c r="D1398" s="12" t="s">
        <v>3723</v>
      </c>
      <c r="E1398" s="136"/>
      <c r="F1398" s="12" t="s">
        <v>3724</v>
      </c>
      <c r="G1398" s="137"/>
      <c r="H1398" s="67"/>
      <c r="I1398" s="71"/>
      <c r="J1398" s="72">
        <v>6150</v>
      </c>
      <c r="K1398" s="88" t="s">
        <v>17</v>
      </c>
      <c r="L1398" s="73"/>
      <c r="M1398" s="11" t="s">
        <v>31</v>
      </c>
    </row>
    <row r="1399" spans="2:13" x14ac:dyDescent="0.25">
      <c r="B1399" s="149" t="s">
        <v>3725</v>
      </c>
      <c r="C1399" s="105">
        <v>45728</v>
      </c>
      <c r="D1399" s="102" t="s">
        <v>3726</v>
      </c>
      <c r="E1399" s="136"/>
      <c r="F1399" s="102" t="s">
        <v>66</v>
      </c>
      <c r="G1399" s="137"/>
      <c r="H1399" s="67"/>
      <c r="I1399" s="71"/>
      <c r="J1399" s="72">
        <v>1004.85</v>
      </c>
      <c r="K1399" s="88" t="s">
        <v>1874</v>
      </c>
      <c r="L1399" s="73"/>
      <c r="M1399" s="11" t="s">
        <v>31</v>
      </c>
    </row>
    <row r="1400" spans="2:13" x14ac:dyDescent="0.25">
      <c r="B1400" s="149" t="s">
        <v>3727</v>
      </c>
      <c r="C1400" s="105">
        <v>45790</v>
      </c>
      <c r="D1400" s="12" t="s">
        <v>463</v>
      </c>
      <c r="E1400" s="136"/>
      <c r="F1400" s="12" t="s">
        <v>3728</v>
      </c>
      <c r="G1400" s="137"/>
      <c r="H1400" s="67"/>
      <c r="I1400" s="71"/>
      <c r="J1400" s="72">
        <v>2300</v>
      </c>
      <c r="K1400" s="88" t="s">
        <v>17</v>
      </c>
      <c r="L1400" s="73"/>
      <c r="M1400" s="11" t="s">
        <v>3698</v>
      </c>
    </row>
    <row r="1401" spans="2:13" x14ac:dyDescent="0.25">
      <c r="B1401" s="11" t="s">
        <v>3729</v>
      </c>
      <c r="C1401" s="128">
        <v>45733</v>
      </c>
      <c r="D1401" s="12" t="s">
        <v>463</v>
      </c>
      <c r="E1401" s="67"/>
      <c r="F1401" s="12" t="s">
        <v>3730</v>
      </c>
      <c r="G1401" s="98"/>
      <c r="H1401" s="67"/>
      <c r="I1401" s="71"/>
      <c r="J1401" s="72">
        <v>1500</v>
      </c>
      <c r="K1401" s="88" t="s">
        <v>17</v>
      </c>
      <c r="L1401" s="73"/>
      <c r="M1401" s="11" t="s">
        <v>18</v>
      </c>
    </row>
    <row r="1402" spans="2:13" x14ac:dyDescent="0.25">
      <c r="B1402" s="11" t="s">
        <v>3731</v>
      </c>
      <c r="C1402" s="105">
        <v>45729</v>
      </c>
      <c r="D1402" s="12" t="s">
        <v>1002</v>
      </c>
      <c r="E1402" s="67"/>
      <c r="F1402" s="12" t="s">
        <v>3732</v>
      </c>
      <c r="G1402" s="98"/>
      <c r="H1402" s="67"/>
      <c r="I1402" s="71"/>
      <c r="J1402" s="72">
        <v>23530.75</v>
      </c>
      <c r="K1402" s="88" t="s">
        <v>3239</v>
      </c>
      <c r="L1402" s="73"/>
      <c r="M1402" s="11" t="s">
        <v>18</v>
      </c>
    </row>
    <row r="1403" spans="2:13" x14ac:dyDescent="0.25">
      <c r="B1403" s="11" t="s">
        <v>3733</v>
      </c>
      <c r="C1403" s="105">
        <v>45730</v>
      </c>
      <c r="D1403" s="12" t="s">
        <v>3734</v>
      </c>
      <c r="E1403" s="67"/>
      <c r="F1403" s="12" t="s">
        <v>3735</v>
      </c>
      <c r="G1403" s="98"/>
      <c r="H1403" s="67"/>
      <c r="I1403" s="71"/>
      <c r="J1403" s="72">
        <v>1148.25</v>
      </c>
      <c r="K1403" s="88" t="s">
        <v>17</v>
      </c>
      <c r="L1403" s="73"/>
      <c r="M1403" s="11" t="s">
        <v>31</v>
      </c>
    </row>
    <row r="1404" spans="2:13" x14ac:dyDescent="0.25">
      <c r="B1404" s="11" t="s">
        <v>3736</v>
      </c>
      <c r="C1404" s="105">
        <v>45730</v>
      </c>
      <c r="D1404" s="12" t="s">
        <v>429</v>
      </c>
      <c r="E1404" s="67"/>
      <c r="F1404" s="12" t="s">
        <v>1112</v>
      </c>
      <c r="G1404" s="98"/>
      <c r="H1404" s="67"/>
      <c r="I1404" s="71"/>
      <c r="J1404" s="72">
        <v>180</v>
      </c>
      <c r="K1404" s="88" t="s">
        <v>17</v>
      </c>
      <c r="L1404" s="73"/>
      <c r="M1404" s="11" t="s">
        <v>31</v>
      </c>
    </row>
    <row r="1405" spans="2:13" x14ac:dyDescent="0.25">
      <c r="B1405" s="11" t="s">
        <v>3737</v>
      </c>
      <c r="C1405" s="105">
        <v>45737</v>
      </c>
      <c r="D1405" s="12" t="s">
        <v>44</v>
      </c>
      <c r="E1405" s="67"/>
      <c r="F1405" s="12" t="s">
        <v>3738</v>
      </c>
      <c r="G1405" s="98"/>
      <c r="H1405" s="67"/>
      <c r="I1405" s="71"/>
      <c r="J1405" s="72">
        <v>3585</v>
      </c>
      <c r="K1405" s="88" t="s">
        <v>17</v>
      </c>
      <c r="L1405" s="73"/>
      <c r="M1405" s="11" t="s">
        <v>31</v>
      </c>
    </row>
    <row r="1406" spans="2:13" x14ac:dyDescent="0.25">
      <c r="B1406" s="11" t="s">
        <v>3739</v>
      </c>
      <c r="C1406" s="105">
        <v>45730</v>
      </c>
      <c r="D1406" s="12" t="s">
        <v>1043</v>
      </c>
      <c r="E1406" s="67"/>
      <c r="F1406" s="12" t="s">
        <v>22</v>
      </c>
      <c r="G1406" s="98"/>
      <c r="H1406" s="67"/>
      <c r="I1406" s="71"/>
      <c r="J1406" s="72">
        <v>365</v>
      </c>
      <c r="K1406" s="88" t="s">
        <v>3239</v>
      </c>
      <c r="L1406" s="73"/>
      <c r="M1406" s="11" t="s">
        <v>31</v>
      </c>
    </row>
    <row r="1407" spans="2:13" x14ac:dyDescent="0.25">
      <c r="B1407" s="11" t="s">
        <v>3740</v>
      </c>
      <c r="C1407" s="105">
        <v>45731</v>
      </c>
      <c r="D1407" s="12" t="s">
        <v>3661</v>
      </c>
      <c r="E1407" s="67"/>
      <c r="F1407" s="12" t="s">
        <v>3741</v>
      </c>
      <c r="G1407" s="98"/>
      <c r="H1407" s="67"/>
      <c r="I1407" s="71"/>
      <c r="J1407" s="72">
        <v>3750</v>
      </c>
      <c r="K1407" s="88" t="s">
        <v>17</v>
      </c>
      <c r="L1407" s="73"/>
      <c r="M1407" s="11" t="s">
        <v>18</v>
      </c>
    </row>
    <row r="1408" spans="2:13" x14ac:dyDescent="0.25">
      <c r="B1408" s="11" t="s">
        <v>3742</v>
      </c>
      <c r="C1408" s="105">
        <v>45731</v>
      </c>
      <c r="D1408" s="12" t="s">
        <v>2584</v>
      </c>
      <c r="E1408" s="67"/>
      <c r="F1408" s="12" t="s">
        <v>3743</v>
      </c>
      <c r="G1408" s="98"/>
      <c r="H1408" s="67"/>
      <c r="I1408" s="71"/>
      <c r="J1408" s="72">
        <v>2960</v>
      </c>
      <c r="K1408" s="88" t="s">
        <v>3239</v>
      </c>
      <c r="L1408" s="73"/>
      <c r="M1408" s="11" t="s">
        <v>18</v>
      </c>
    </row>
    <row r="1409" spans="2:13" x14ac:dyDescent="0.25">
      <c r="B1409" s="11" t="s">
        <v>3744</v>
      </c>
      <c r="C1409" s="105">
        <v>45733</v>
      </c>
      <c r="D1409" s="12" t="s">
        <v>241</v>
      </c>
      <c r="E1409" s="67"/>
      <c r="F1409" s="12" t="s">
        <v>3745</v>
      </c>
      <c r="G1409" s="98"/>
      <c r="H1409" s="67"/>
      <c r="I1409" s="71"/>
      <c r="J1409" s="72">
        <v>405</v>
      </c>
      <c r="K1409" s="88" t="s">
        <v>17</v>
      </c>
      <c r="L1409" s="73"/>
      <c r="M1409" s="11" t="s">
        <v>31</v>
      </c>
    </row>
    <row r="1410" spans="2:13" x14ac:dyDescent="0.25">
      <c r="B1410" s="11" t="s">
        <v>3746</v>
      </c>
      <c r="C1410" s="105">
        <v>45740</v>
      </c>
      <c r="D1410" s="12" t="s">
        <v>211</v>
      </c>
      <c r="E1410" s="67"/>
      <c r="F1410" s="12" t="s">
        <v>3747</v>
      </c>
      <c r="G1410" s="98"/>
      <c r="H1410" s="67"/>
      <c r="I1410" s="71"/>
      <c r="J1410" s="72">
        <v>21675</v>
      </c>
      <c r="K1410" s="88" t="s">
        <v>17</v>
      </c>
      <c r="L1410" s="73"/>
      <c r="M1410" s="11" t="s">
        <v>18</v>
      </c>
    </row>
    <row r="1411" spans="2:13" x14ac:dyDescent="0.25">
      <c r="B1411" s="11" t="s">
        <v>3748</v>
      </c>
      <c r="C1411" s="105">
        <v>45735</v>
      </c>
      <c r="D1411" s="12" t="s">
        <v>241</v>
      </c>
      <c r="E1411" s="67"/>
      <c r="F1411" t="s">
        <v>3749</v>
      </c>
      <c r="G1411" s="98"/>
      <c r="H1411" s="67"/>
      <c r="I1411" s="71"/>
      <c r="J1411" s="72">
        <v>3380</v>
      </c>
      <c r="K1411" s="88" t="s">
        <v>17</v>
      </c>
      <c r="L1411" s="73"/>
      <c r="M1411" s="11" t="s">
        <v>31</v>
      </c>
    </row>
    <row r="1412" spans="2:13" x14ac:dyDescent="0.25">
      <c r="B1412" s="11" t="s">
        <v>3750</v>
      </c>
      <c r="C1412" s="105">
        <v>45734</v>
      </c>
      <c r="D1412" s="12" t="s">
        <v>211</v>
      </c>
      <c r="E1412" s="67"/>
      <c r="F1412" s="12" t="s">
        <v>3061</v>
      </c>
      <c r="G1412" s="98"/>
      <c r="H1412" s="67"/>
      <c r="I1412" s="71"/>
      <c r="J1412" s="72">
        <v>7050</v>
      </c>
      <c r="K1412" s="88" t="s">
        <v>17</v>
      </c>
      <c r="L1412" s="73"/>
      <c r="M1412" s="11" t="s">
        <v>18</v>
      </c>
    </row>
    <row r="1413" spans="2:13" x14ac:dyDescent="0.25">
      <c r="B1413" s="11" t="s">
        <v>3751</v>
      </c>
      <c r="C1413" s="105">
        <v>45734</v>
      </c>
      <c r="D1413" s="12" t="s">
        <v>3661</v>
      </c>
      <c r="E1413" s="67"/>
      <c r="F1413" s="12" t="s">
        <v>3752</v>
      </c>
      <c r="G1413" s="98"/>
      <c r="H1413" s="67"/>
      <c r="I1413" s="71"/>
      <c r="J1413" s="72">
        <v>935</v>
      </c>
      <c r="K1413" s="88" t="s">
        <v>17</v>
      </c>
      <c r="L1413" s="73"/>
      <c r="M1413" s="11" t="s">
        <v>18</v>
      </c>
    </row>
    <row r="1414" spans="2:13" x14ac:dyDescent="0.25">
      <c r="B1414" s="11" t="s">
        <v>3753</v>
      </c>
      <c r="C1414" s="105">
        <v>45734</v>
      </c>
      <c r="D1414" s="12" t="s">
        <v>3661</v>
      </c>
      <c r="E1414" s="67"/>
      <c r="F1414" s="12" t="s">
        <v>3754</v>
      </c>
      <c r="G1414" s="98"/>
      <c r="H1414" s="67"/>
      <c r="I1414" s="71"/>
      <c r="J1414" s="72">
        <v>195</v>
      </c>
      <c r="K1414" s="88" t="s">
        <v>17</v>
      </c>
      <c r="L1414" s="73"/>
      <c r="M1414" s="11" t="s">
        <v>31</v>
      </c>
    </row>
    <row r="1415" spans="2:13" x14ac:dyDescent="0.25">
      <c r="B1415" s="11" t="s">
        <v>3755</v>
      </c>
      <c r="C1415" s="105">
        <v>45735</v>
      </c>
      <c r="D1415" s="12" t="s">
        <v>211</v>
      </c>
      <c r="E1415" s="67"/>
      <c r="F1415" s="12" t="s">
        <v>3756</v>
      </c>
      <c r="G1415" s="98"/>
      <c r="H1415" s="67"/>
      <c r="I1415" s="71"/>
      <c r="J1415" s="72">
        <v>2175</v>
      </c>
      <c r="K1415" s="88" t="s">
        <v>17</v>
      </c>
      <c r="L1415" s="73"/>
      <c r="M1415" s="11" t="s">
        <v>18</v>
      </c>
    </row>
    <row r="1416" spans="2:13" x14ac:dyDescent="0.25">
      <c r="B1416" s="11" t="s">
        <v>3757</v>
      </c>
      <c r="C1416" s="105">
        <v>45741</v>
      </c>
      <c r="D1416" s="12" t="s">
        <v>1302</v>
      </c>
      <c r="E1416" s="67"/>
      <c r="F1416" s="12" t="s">
        <v>3758</v>
      </c>
      <c r="G1416" s="98"/>
      <c r="H1416" s="67"/>
      <c r="I1416" s="71"/>
      <c r="J1416" s="72">
        <v>2395</v>
      </c>
      <c r="K1416" s="88" t="s">
        <v>17</v>
      </c>
      <c r="L1416" s="73"/>
      <c r="M1416" s="11" t="s">
        <v>31</v>
      </c>
    </row>
    <row r="1417" spans="2:13" x14ac:dyDescent="0.25">
      <c r="B1417" s="11" t="s">
        <v>3759</v>
      </c>
      <c r="C1417" s="105">
        <v>45738</v>
      </c>
      <c r="D1417" s="12" t="s">
        <v>3071</v>
      </c>
      <c r="E1417" s="67"/>
      <c r="F1417" s="12" t="s">
        <v>3760</v>
      </c>
      <c r="G1417" s="98"/>
      <c r="H1417" s="67"/>
      <c r="I1417" s="71"/>
      <c r="J1417" s="72">
        <v>1095</v>
      </c>
      <c r="K1417" s="88" t="s">
        <v>17</v>
      </c>
      <c r="L1417" s="73"/>
      <c r="M1417" s="11" t="s">
        <v>31</v>
      </c>
    </row>
    <row r="1418" spans="2:13" x14ac:dyDescent="0.25">
      <c r="B1418" s="11" t="s">
        <v>3761</v>
      </c>
      <c r="C1418" s="105">
        <v>45736</v>
      </c>
      <c r="D1418" s="12" t="s">
        <v>3416</v>
      </c>
      <c r="E1418" s="67"/>
      <c r="F1418" s="12" t="s">
        <v>3417</v>
      </c>
      <c r="G1418" s="98"/>
      <c r="H1418" s="67"/>
      <c r="I1418" s="71"/>
      <c r="J1418" s="72">
        <v>900</v>
      </c>
      <c r="K1418" s="88" t="s">
        <v>461</v>
      </c>
      <c r="L1418" s="73"/>
      <c r="M1418" s="11" t="s">
        <v>31</v>
      </c>
    </row>
    <row r="1419" spans="2:13" x14ac:dyDescent="0.25">
      <c r="B1419" s="11" t="s">
        <v>3762</v>
      </c>
      <c r="C1419" s="105">
        <v>45736</v>
      </c>
      <c r="D1419" s="12" t="s">
        <v>241</v>
      </c>
      <c r="E1419" s="67"/>
      <c r="F1419" s="12" t="s">
        <v>3763</v>
      </c>
      <c r="G1419" s="98"/>
      <c r="H1419" s="67"/>
      <c r="I1419" s="71"/>
      <c r="J1419" s="72">
        <v>405</v>
      </c>
      <c r="K1419" s="88" t="s">
        <v>17</v>
      </c>
      <c r="L1419" s="73"/>
      <c r="M1419" s="11" t="s">
        <v>31</v>
      </c>
    </row>
    <row r="1420" spans="2:13" x14ac:dyDescent="0.25">
      <c r="B1420" s="11" t="s">
        <v>3764</v>
      </c>
      <c r="C1420" s="105">
        <v>45736</v>
      </c>
      <c r="D1420" s="12" t="s">
        <v>564</v>
      </c>
      <c r="E1420" s="67"/>
      <c r="F1420" s="12" t="s">
        <v>3765</v>
      </c>
      <c r="G1420" s="98"/>
      <c r="H1420" s="67"/>
      <c r="I1420" s="71"/>
      <c r="J1420" s="72">
        <v>190</v>
      </c>
      <c r="K1420" s="88" t="s">
        <v>17</v>
      </c>
      <c r="L1420" s="73"/>
      <c r="M1420" s="11" t="s">
        <v>31</v>
      </c>
    </row>
    <row r="1421" spans="2:13" x14ac:dyDescent="0.25">
      <c r="B1421" s="11" t="s">
        <v>3766</v>
      </c>
      <c r="C1421" s="105">
        <v>45738</v>
      </c>
      <c r="D1421" s="12" t="s">
        <v>3767</v>
      </c>
      <c r="E1421" s="67"/>
      <c r="F1421" s="12" t="s">
        <v>3768</v>
      </c>
      <c r="G1421" s="98"/>
      <c r="H1421" s="67"/>
      <c r="I1421" s="71"/>
      <c r="J1421" s="72">
        <v>875</v>
      </c>
      <c r="K1421" s="88" t="s">
        <v>1874</v>
      </c>
      <c r="L1421" s="73"/>
      <c r="M1421" s="11" t="s">
        <v>31</v>
      </c>
    </row>
    <row r="1422" spans="2:13" x14ac:dyDescent="0.25">
      <c r="B1422" s="11" t="s">
        <v>3769</v>
      </c>
      <c r="C1422" s="105">
        <v>45736</v>
      </c>
      <c r="D1422" s="12" t="s">
        <v>211</v>
      </c>
      <c r="E1422" s="67"/>
      <c r="F1422" s="12" t="s">
        <v>3770</v>
      </c>
      <c r="G1422" s="98"/>
      <c r="H1422" s="67"/>
      <c r="I1422" s="71"/>
      <c r="J1422" s="72">
        <v>250</v>
      </c>
      <c r="K1422" s="88" t="s">
        <v>17</v>
      </c>
      <c r="L1422" s="73"/>
      <c r="M1422" s="11" t="s">
        <v>31</v>
      </c>
    </row>
    <row r="1423" spans="2:13" x14ac:dyDescent="0.25">
      <c r="B1423" s="11" t="s">
        <v>3771</v>
      </c>
      <c r="C1423" s="105">
        <v>45737</v>
      </c>
      <c r="D1423" s="12" t="s">
        <v>3772</v>
      </c>
      <c r="E1423" s="67"/>
      <c r="F1423" s="12" t="s">
        <v>3773</v>
      </c>
      <c r="G1423" s="98"/>
      <c r="H1423" s="67"/>
      <c r="I1423" s="71"/>
      <c r="J1423" s="72">
        <v>32457</v>
      </c>
      <c r="K1423" s="88" t="s">
        <v>17</v>
      </c>
      <c r="L1423" s="73"/>
      <c r="M1423" s="11" t="s">
        <v>3341</v>
      </c>
    </row>
    <row r="1424" spans="2:13" x14ac:dyDescent="0.25">
      <c r="B1424" s="11" t="s">
        <v>3774</v>
      </c>
      <c r="C1424" s="105">
        <v>45738</v>
      </c>
      <c r="D1424" s="12" t="s">
        <v>3071</v>
      </c>
      <c r="E1424" s="67"/>
      <c r="F1424" s="12" t="s">
        <v>3775</v>
      </c>
      <c r="G1424" s="98"/>
      <c r="H1424" s="67"/>
      <c r="I1424" s="71"/>
      <c r="J1424" s="72">
        <v>4750</v>
      </c>
      <c r="K1424" s="88" t="s">
        <v>17</v>
      </c>
      <c r="L1424" s="73"/>
      <c r="M1424" s="11" t="s">
        <v>31</v>
      </c>
    </row>
    <row r="1425" spans="2:13" x14ac:dyDescent="0.25">
      <c r="B1425" s="11" t="s">
        <v>3776</v>
      </c>
      <c r="C1425" s="105">
        <v>45738</v>
      </c>
      <c r="D1425" s="12" t="s">
        <v>211</v>
      </c>
      <c r="E1425" s="67"/>
      <c r="F1425" s="12" t="s">
        <v>3777</v>
      </c>
      <c r="G1425" s="98"/>
      <c r="H1425" s="67"/>
      <c r="I1425" s="71"/>
      <c r="J1425" s="72">
        <v>350</v>
      </c>
      <c r="K1425" s="88" t="s">
        <v>17</v>
      </c>
      <c r="L1425" s="73"/>
      <c r="M1425" s="11" t="s">
        <v>18</v>
      </c>
    </row>
    <row r="1426" spans="2:13" x14ac:dyDescent="0.25">
      <c r="B1426" s="11" t="s">
        <v>3778</v>
      </c>
      <c r="C1426" s="105">
        <v>45740</v>
      </c>
      <c r="D1426" s="102" t="s">
        <v>2254</v>
      </c>
      <c r="E1426" s="67"/>
      <c r="F1426" s="102" t="s">
        <v>3779</v>
      </c>
      <c r="G1426" s="98"/>
      <c r="H1426" s="67"/>
      <c r="I1426" s="71"/>
      <c r="J1426" s="72">
        <v>1350</v>
      </c>
      <c r="K1426" s="88" t="s">
        <v>17</v>
      </c>
      <c r="L1426" s="73"/>
      <c r="M1426" s="11" t="s">
        <v>18</v>
      </c>
    </row>
    <row r="1427" spans="2:13" x14ac:dyDescent="0.25">
      <c r="B1427" s="11" t="s">
        <v>3780</v>
      </c>
      <c r="C1427" s="105">
        <v>45804</v>
      </c>
      <c r="D1427" s="12" t="s">
        <v>564</v>
      </c>
      <c r="E1427" s="67"/>
      <c r="F1427" s="12" t="s">
        <v>3781</v>
      </c>
      <c r="G1427" s="98"/>
      <c r="H1427" s="67"/>
      <c r="I1427" s="71"/>
      <c r="J1427" s="72">
        <v>9425</v>
      </c>
      <c r="K1427" s="88" t="s">
        <v>17</v>
      </c>
      <c r="L1427" s="73"/>
      <c r="M1427" s="11" t="s">
        <v>3698</v>
      </c>
    </row>
    <row r="1428" spans="2:13" x14ac:dyDescent="0.25">
      <c r="B1428" s="11" t="s">
        <v>3782</v>
      </c>
      <c r="C1428" s="105">
        <v>45740</v>
      </c>
      <c r="D1428" s="12" t="s">
        <v>3783</v>
      </c>
      <c r="E1428" s="67"/>
      <c r="F1428" s="12" t="s">
        <v>3784</v>
      </c>
      <c r="G1428" s="98"/>
      <c r="H1428" s="67"/>
      <c r="I1428" s="71"/>
      <c r="J1428" s="72">
        <v>3069</v>
      </c>
      <c r="K1428" s="88" t="s">
        <v>17</v>
      </c>
      <c r="L1428" s="73"/>
      <c r="M1428" s="11" t="s">
        <v>18</v>
      </c>
    </row>
    <row r="1429" spans="2:13" x14ac:dyDescent="0.25">
      <c r="B1429" s="11" t="s">
        <v>3785</v>
      </c>
      <c r="C1429" s="105">
        <v>45750</v>
      </c>
      <c r="D1429" s="12" t="s">
        <v>3469</v>
      </c>
      <c r="E1429" s="67"/>
      <c r="F1429" s="12" t="s">
        <v>932</v>
      </c>
      <c r="G1429" s="98"/>
      <c r="H1429" s="67"/>
      <c r="I1429" s="71"/>
      <c r="J1429" s="72">
        <v>875</v>
      </c>
      <c r="K1429" s="88" t="s">
        <v>17</v>
      </c>
      <c r="L1429" s="73"/>
      <c r="M1429" s="11" t="s">
        <v>31</v>
      </c>
    </row>
    <row r="1430" spans="2:13" x14ac:dyDescent="0.25">
      <c r="B1430" s="11" t="s">
        <v>3786</v>
      </c>
      <c r="C1430" s="105">
        <v>45741</v>
      </c>
      <c r="D1430" s="12" t="s">
        <v>3787</v>
      </c>
      <c r="E1430" s="67"/>
      <c r="F1430" s="12" t="s">
        <v>3788</v>
      </c>
      <c r="G1430" s="98"/>
      <c r="H1430" s="67"/>
      <c r="I1430" s="71"/>
      <c r="J1430" s="72">
        <v>43800</v>
      </c>
      <c r="K1430" s="88" t="s">
        <v>17</v>
      </c>
      <c r="L1430" s="73"/>
      <c r="M1430" s="11" t="s">
        <v>18</v>
      </c>
    </row>
    <row r="1431" spans="2:13" x14ac:dyDescent="0.25">
      <c r="B1431" s="11" t="s">
        <v>3789</v>
      </c>
      <c r="C1431" s="105">
        <v>45741</v>
      </c>
      <c r="D1431" s="12" t="s">
        <v>564</v>
      </c>
      <c r="E1431" s="67"/>
      <c r="F1431" s="12" t="s">
        <v>1653</v>
      </c>
      <c r="G1431" s="98"/>
      <c r="H1431" s="67"/>
      <c r="I1431" s="71"/>
      <c r="J1431" s="72">
        <v>4950</v>
      </c>
      <c r="K1431" s="88" t="s">
        <v>17</v>
      </c>
      <c r="L1431" s="73"/>
      <c r="M1431" s="11" t="s">
        <v>31</v>
      </c>
    </row>
    <row r="1432" spans="2:13" x14ac:dyDescent="0.25">
      <c r="B1432" s="11" t="s">
        <v>3790</v>
      </c>
      <c r="C1432" s="105">
        <v>45741</v>
      </c>
      <c r="D1432" s="12" t="s">
        <v>3440</v>
      </c>
      <c r="E1432" s="67"/>
      <c r="F1432" s="12" t="s">
        <v>3791</v>
      </c>
      <c r="G1432" s="98"/>
      <c r="H1432" s="67"/>
      <c r="I1432" s="71"/>
      <c r="J1432" s="72">
        <v>10650</v>
      </c>
      <c r="K1432" s="88" t="s">
        <v>1874</v>
      </c>
      <c r="L1432" s="73"/>
      <c r="M1432" s="11" t="s">
        <v>18</v>
      </c>
    </row>
    <row r="1433" spans="2:13" x14ac:dyDescent="0.25">
      <c r="B1433" s="11" t="s">
        <v>3792</v>
      </c>
      <c r="C1433" s="105">
        <v>45742</v>
      </c>
      <c r="D1433" s="12" t="s">
        <v>3793</v>
      </c>
      <c r="E1433" s="67"/>
      <c r="F1433" s="12" t="s">
        <v>3794</v>
      </c>
      <c r="G1433" s="98"/>
      <c r="H1433" s="67"/>
      <c r="I1433" s="71"/>
      <c r="J1433" s="72">
        <v>1675</v>
      </c>
      <c r="K1433" s="88" t="s">
        <v>1874</v>
      </c>
      <c r="L1433" s="73"/>
      <c r="M1433" s="11" t="s">
        <v>31</v>
      </c>
    </row>
    <row r="1434" spans="2:13" x14ac:dyDescent="0.25">
      <c r="B1434" s="11" t="s">
        <v>3795</v>
      </c>
      <c r="C1434" s="105">
        <v>45742</v>
      </c>
      <c r="D1434" s="12" t="s">
        <v>346</v>
      </c>
      <c r="E1434" s="67"/>
      <c r="F1434" s="12" t="s">
        <v>3796</v>
      </c>
      <c r="G1434" s="98"/>
      <c r="H1434" s="67"/>
      <c r="I1434" s="71"/>
      <c r="J1434" s="72">
        <v>3590</v>
      </c>
      <c r="K1434" s="88" t="s">
        <v>17</v>
      </c>
      <c r="L1434" s="73"/>
      <c r="M1434" s="11" t="s">
        <v>18</v>
      </c>
    </row>
    <row r="1435" spans="2:13" x14ac:dyDescent="0.25">
      <c r="B1435" s="11" t="s">
        <v>3797</v>
      </c>
      <c r="C1435" s="105">
        <v>45742</v>
      </c>
      <c r="D1435" s="12" t="s">
        <v>3189</v>
      </c>
      <c r="E1435" s="67"/>
      <c r="F1435" s="12" t="s">
        <v>239</v>
      </c>
      <c r="G1435" s="98"/>
      <c r="H1435" s="67"/>
      <c r="I1435" s="71"/>
      <c r="J1435" s="72">
        <v>1380</v>
      </c>
      <c r="K1435" s="88" t="s">
        <v>3239</v>
      </c>
      <c r="L1435" s="73"/>
      <c r="M1435" s="11" t="s">
        <v>18</v>
      </c>
    </row>
    <row r="1436" spans="2:13" x14ac:dyDescent="0.25">
      <c r="B1436" s="11" t="s">
        <v>3798</v>
      </c>
      <c r="C1436" s="105">
        <v>45744</v>
      </c>
      <c r="D1436" s="12" t="s">
        <v>3799</v>
      </c>
      <c r="E1436" s="67"/>
      <c r="F1436" s="12" t="s">
        <v>3800</v>
      </c>
      <c r="G1436" s="98"/>
      <c r="H1436" s="67"/>
      <c r="I1436" s="71"/>
      <c r="J1436" s="72">
        <v>517</v>
      </c>
      <c r="K1436" s="88" t="s">
        <v>17</v>
      </c>
      <c r="L1436" s="73"/>
      <c r="M1436" s="11" t="s">
        <v>31</v>
      </c>
    </row>
    <row r="1437" spans="2:13" x14ac:dyDescent="0.25">
      <c r="B1437" s="11" t="s">
        <v>3801</v>
      </c>
      <c r="C1437" s="105">
        <v>45743</v>
      </c>
      <c r="D1437" s="12" t="s">
        <v>3802</v>
      </c>
      <c r="E1437" s="67"/>
      <c r="F1437" s="12" t="s">
        <v>3803</v>
      </c>
      <c r="G1437" s="98"/>
      <c r="H1437" s="67"/>
      <c r="I1437" s="71"/>
      <c r="J1437" s="72">
        <v>385</v>
      </c>
      <c r="K1437" s="88" t="s">
        <v>17</v>
      </c>
      <c r="L1437" s="73"/>
      <c r="M1437" s="11" t="s">
        <v>18</v>
      </c>
    </row>
    <row r="1438" spans="2:13" x14ac:dyDescent="0.25">
      <c r="B1438" s="11" t="s">
        <v>3804</v>
      </c>
      <c r="C1438" s="105">
        <v>45743</v>
      </c>
      <c r="D1438" s="12" t="s">
        <v>3805</v>
      </c>
      <c r="E1438" s="67"/>
      <c r="F1438" s="12" t="s">
        <v>3806</v>
      </c>
      <c r="G1438" s="98"/>
      <c r="H1438" s="67"/>
      <c r="I1438" s="71"/>
      <c r="J1438" s="72">
        <v>159.4</v>
      </c>
      <c r="K1438" s="88" t="s">
        <v>1874</v>
      </c>
      <c r="L1438" s="73"/>
      <c r="M1438" s="11" t="s">
        <v>18</v>
      </c>
    </row>
    <row r="1439" spans="2:13" x14ac:dyDescent="0.25">
      <c r="B1439" s="11" t="s">
        <v>3807</v>
      </c>
      <c r="C1439" s="105">
        <v>45743</v>
      </c>
      <c r="D1439" s="12" t="s">
        <v>3808</v>
      </c>
      <c r="E1439" s="67"/>
      <c r="F1439" s="12" t="s">
        <v>3809</v>
      </c>
      <c r="G1439" s="98"/>
      <c r="H1439" s="67"/>
      <c r="I1439" s="71"/>
      <c r="J1439" s="72">
        <v>178068</v>
      </c>
      <c r="K1439" s="88" t="s">
        <v>1874</v>
      </c>
      <c r="L1439" s="73"/>
      <c r="M1439" s="11" t="s">
        <v>18</v>
      </c>
    </row>
    <row r="1440" spans="2:13" x14ac:dyDescent="0.25">
      <c r="B1440" s="11" t="s">
        <v>3810</v>
      </c>
      <c r="C1440" s="105">
        <v>45744</v>
      </c>
      <c r="D1440" s="12" t="s">
        <v>3811</v>
      </c>
      <c r="E1440" s="67"/>
      <c r="F1440" s="12" t="s">
        <v>2835</v>
      </c>
      <c r="G1440" s="98"/>
      <c r="H1440" s="67"/>
      <c r="I1440" s="71"/>
      <c r="J1440" s="72">
        <v>3875</v>
      </c>
      <c r="K1440" s="88" t="s">
        <v>1874</v>
      </c>
      <c r="L1440" s="73"/>
      <c r="M1440" s="11" t="s">
        <v>18</v>
      </c>
    </row>
    <row r="1441" spans="2:13" x14ac:dyDescent="0.25">
      <c r="B1441" s="11" t="s">
        <v>3812</v>
      </c>
      <c r="C1441" s="105">
        <v>45744</v>
      </c>
      <c r="D1441" s="12" t="s">
        <v>639</v>
      </c>
      <c r="E1441" s="67"/>
      <c r="F1441" s="12" t="s">
        <v>3813</v>
      </c>
      <c r="G1441" s="98"/>
      <c r="H1441" s="67"/>
      <c r="I1441" s="71"/>
      <c r="J1441" s="72">
        <v>2975</v>
      </c>
      <c r="K1441" s="88" t="s">
        <v>17</v>
      </c>
      <c r="L1441" s="73"/>
      <c r="M1441" s="11" t="s">
        <v>18</v>
      </c>
    </row>
    <row r="1442" spans="2:13" x14ac:dyDescent="0.25">
      <c r="B1442" s="11" t="s">
        <v>3814</v>
      </c>
      <c r="C1442" s="105">
        <v>45754</v>
      </c>
      <c r="D1442" s="12" t="s">
        <v>1060</v>
      </c>
      <c r="E1442" s="67"/>
      <c r="F1442" s="12" t="s">
        <v>3815</v>
      </c>
      <c r="G1442" s="98"/>
      <c r="H1442" s="67"/>
      <c r="I1442" s="71"/>
      <c r="J1442" s="72">
        <v>1875</v>
      </c>
      <c r="K1442" s="88" t="s">
        <v>17</v>
      </c>
      <c r="L1442" s="73"/>
      <c r="M1442" s="11" t="s">
        <v>31</v>
      </c>
    </row>
    <row r="1443" spans="2:13" x14ac:dyDescent="0.25">
      <c r="B1443" s="11" t="s">
        <v>3816</v>
      </c>
      <c r="C1443" s="105">
        <v>45745</v>
      </c>
      <c r="D1443" s="12" t="s">
        <v>525</v>
      </c>
      <c r="E1443" s="67"/>
      <c r="F1443" s="12" t="s">
        <v>932</v>
      </c>
      <c r="G1443" s="98"/>
      <c r="H1443" s="67"/>
      <c r="I1443" s="71"/>
      <c r="J1443" s="72">
        <v>887.2</v>
      </c>
      <c r="K1443" s="88" t="s">
        <v>17</v>
      </c>
      <c r="L1443" s="73"/>
      <c r="M1443" s="11" t="s">
        <v>31</v>
      </c>
    </row>
    <row r="1444" spans="2:13" x14ac:dyDescent="0.25">
      <c r="B1444" s="11" t="s">
        <v>3817</v>
      </c>
      <c r="C1444" s="105">
        <v>45750</v>
      </c>
      <c r="D1444" s="12" t="s">
        <v>3818</v>
      </c>
      <c r="E1444" s="67"/>
      <c r="F1444" s="12" t="s">
        <v>2301</v>
      </c>
      <c r="G1444" s="98"/>
      <c r="H1444" s="67"/>
      <c r="I1444" s="71"/>
      <c r="J1444" s="72">
        <v>11082</v>
      </c>
      <c r="K1444" s="88" t="s">
        <v>1874</v>
      </c>
      <c r="L1444" s="73"/>
      <c r="M1444" s="11" t="s">
        <v>18</v>
      </c>
    </row>
    <row r="1445" spans="2:13" x14ac:dyDescent="0.25">
      <c r="B1445" s="11" t="s">
        <v>3819</v>
      </c>
      <c r="C1445" s="105">
        <v>45749</v>
      </c>
      <c r="D1445" s="12" t="s">
        <v>241</v>
      </c>
      <c r="E1445" s="67"/>
      <c r="F1445" s="12" t="s">
        <v>3820</v>
      </c>
      <c r="G1445" s="98"/>
      <c r="H1445" s="67"/>
      <c r="I1445" s="71"/>
      <c r="J1445" s="72">
        <v>470</v>
      </c>
      <c r="K1445" s="88" t="s">
        <v>17</v>
      </c>
      <c r="L1445" s="73"/>
      <c r="M1445" s="11" t="s">
        <v>31</v>
      </c>
    </row>
    <row r="1446" spans="2:13" x14ac:dyDescent="0.25">
      <c r="B1446" s="11" t="s">
        <v>3821</v>
      </c>
      <c r="C1446" s="105">
        <v>45749</v>
      </c>
      <c r="D1446" s="12" t="s">
        <v>3822</v>
      </c>
      <c r="E1446" s="67"/>
      <c r="F1446" s="12" t="s">
        <v>3823</v>
      </c>
      <c r="G1446" s="98"/>
      <c r="H1446" s="67"/>
      <c r="I1446" s="71"/>
      <c r="J1446" s="72">
        <v>1331.25</v>
      </c>
      <c r="K1446" s="88" t="s">
        <v>1874</v>
      </c>
      <c r="L1446" s="73"/>
      <c r="M1446" s="11" t="s">
        <v>18</v>
      </c>
    </row>
    <row r="1447" spans="2:13" x14ac:dyDescent="0.25">
      <c r="B1447" s="11" t="s">
        <v>3824</v>
      </c>
      <c r="C1447" s="105">
        <v>45750</v>
      </c>
      <c r="D1447" s="12" t="s">
        <v>3825</v>
      </c>
      <c r="E1447" s="67"/>
      <c r="F1447" t="s">
        <v>3826</v>
      </c>
      <c r="G1447" s="98"/>
      <c r="H1447" s="67"/>
      <c r="I1447" s="71"/>
      <c r="J1447" s="72">
        <v>1593</v>
      </c>
      <c r="K1447" s="88" t="s">
        <v>1874</v>
      </c>
      <c r="L1447" s="73"/>
      <c r="M1447" s="11" t="s">
        <v>18</v>
      </c>
    </row>
    <row r="1448" spans="2:13" x14ac:dyDescent="0.25">
      <c r="B1448" s="11" t="s">
        <v>3827</v>
      </c>
      <c r="C1448" s="105">
        <v>45750</v>
      </c>
      <c r="D1448" t="s">
        <v>27</v>
      </c>
      <c r="E1448" s="67"/>
      <c r="F1448" t="s">
        <v>3828</v>
      </c>
      <c r="G1448" s="98"/>
      <c r="H1448" s="67"/>
      <c r="I1448" s="71"/>
      <c r="J1448" s="72">
        <v>325</v>
      </c>
      <c r="K1448" s="88" t="s">
        <v>17</v>
      </c>
      <c r="L1448" s="73"/>
      <c r="M1448" s="11" t="s">
        <v>31</v>
      </c>
    </row>
    <row r="1449" spans="2:13" x14ac:dyDescent="0.25">
      <c r="B1449" s="11" t="s">
        <v>3829</v>
      </c>
      <c r="C1449" s="105">
        <v>45751</v>
      </c>
      <c r="D1449" t="s">
        <v>3726</v>
      </c>
      <c r="E1449" s="67"/>
      <c r="F1449" s="12" t="s">
        <v>3830</v>
      </c>
      <c r="G1449" s="98"/>
      <c r="H1449" s="67"/>
      <c r="I1449" s="71"/>
      <c r="J1449" s="72">
        <v>6065</v>
      </c>
      <c r="K1449" s="88" t="s">
        <v>1874</v>
      </c>
      <c r="L1449" s="73"/>
      <c r="M1449" s="11" t="s">
        <v>31</v>
      </c>
    </row>
    <row r="1450" spans="2:13" x14ac:dyDescent="0.25">
      <c r="B1450" s="11" t="s">
        <v>3831</v>
      </c>
      <c r="C1450" s="105">
        <v>45751</v>
      </c>
      <c r="D1450" s="12" t="s">
        <v>1459</v>
      </c>
      <c r="E1450" s="67"/>
      <c r="F1450" t="s">
        <v>393</v>
      </c>
      <c r="G1450" s="98"/>
      <c r="H1450" s="67"/>
      <c r="I1450" s="71"/>
      <c r="J1450" s="72">
        <v>1965</v>
      </c>
      <c r="K1450" s="88" t="s">
        <v>17</v>
      </c>
      <c r="L1450" s="73"/>
      <c r="M1450" s="11" t="s">
        <v>31</v>
      </c>
    </row>
    <row r="1451" spans="2:13" x14ac:dyDescent="0.25">
      <c r="B1451" s="11" t="s">
        <v>3832</v>
      </c>
      <c r="C1451" s="105">
        <v>45751</v>
      </c>
      <c r="D1451" s="12" t="s">
        <v>3833</v>
      </c>
      <c r="E1451" s="67"/>
      <c r="F1451" s="12" t="s">
        <v>900</v>
      </c>
      <c r="G1451" s="98"/>
      <c r="H1451" s="67"/>
      <c r="I1451" s="71"/>
      <c r="J1451" s="72">
        <v>425</v>
      </c>
      <c r="K1451" s="88" t="s">
        <v>1874</v>
      </c>
      <c r="L1451" s="73"/>
      <c r="M1451" s="11" t="s">
        <v>31</v>
      </c>
    </row>
    <row r="1452" spans="2:13" x14ac:dyDescent="0.25">
      <c r="B1452" s="11" t="s">
        <v>3834</v>
      </c>
      <c r="C1452" s="105">
        <v>45755</v>
      </c>
      <c r="D1452" s="12" t="s">
        <v>3395</v>
      </c>
      <c r="E1452" s="67"/>
      <c r="F1452" s="12" t="s">
        <v>3835</v>
      </c>
      <c r="G1452" s="98"/>
      <c r="H1452" s="67"/>
      <c r="I1452" s="71"/>
      <c r="J1452" s="72">
        <v>365</v>
      </c>
      <c r="K1452" s="88" t="s">
        <v>1874</v>
      </c>
      <c r="L1452" s="73"/>
      <c r="M1452" s="11" t="s">
        <v>31</v>
      </c>
    </row>
    <row r="1453" spans="2:13" x14ac:dyDescent="0.25">
      <c r="B1453" s="11" t="s">
        <v>3836</v>
      </c>
      <c r="C1453" s="105">
        <v>45752</v>
      </c>
      <c r="D1453" s="12" t="s">
        <v>1034</v>
      </c>
      <c r="E1453" s="67"/>
      <c r="F1453" s="12" t="s">
        <v>3659</v>
      </c>
      <c r="G1453" s="98"/>
      <c r="H1453" s="67"/>
      <c r="I1453" s="71"/>
      <c r="J1453" s="72">
        <v>553</v>
      </c>
      <c r="K1453" s="88" t="s">
        <v>17</v>
      </c>
      <c r="L1453" s="73"/>
      <c r="M1453" s="11" t="s">
        <v>31</v>
      </c>
    </row>
    <row r="1454" spans="2:13" x14ac:dyDescent="0.25">
      <c r="B1454" s="11" t="s">
        <v>3837</v>
      </c>
      <c r="C1454" s="105">
        <v>45754</v>
      </c>
      <c r="D1454" s="12" t="s">
        <v>241</v>
      </c>
      <c r="E1454" s="67"/>
      <c r="F1454" s="12" t="s">
        <v>3838</v>
      </c>
      <c r="G1454" s="98"/>
      <c r="H1454" s="67"/>
      <c r="I1454" s="71"/>
      <c r="J1454" s="72">
        <v>2055</v>
      </c>
      <c r="K1454" s="88" t="s">
        <v>17</v>
      </c>
      <c r="L1454" s="73"/>
      <c r="M1454" s="11" t="s">
        <v>31</v>
      </c>
    </row>
    <row r="1455" spans="2:13" x14ac:dyDescent="0.25">
      <c r="B1455" s="11" t="s">
        <v>3839</v>
      </c>
      <c r="C1455" s="105">
        <v>45754</v>
      </c>
      <c r="D1455" s="102" t="s">
        <v>3840</v>
      </c>
      <c r="E1455" s="67"/>
      <c r="F1455" s="102" t="s">
        <v>3840</v>
      </c>
      <c r="G1455" s="98"/>
      <c r="H1455" s="67"/>
      <c r="I1455" s="71"/>
      <c r="J1455" s="72">
        <v>170500</v>
      </c>
      <c r="K1455" s="88" t="s">
        <v>17</v>
      </c>
      <c r="L1455" s="73"/>
      <c r="M1455" s="11" t="s">
        <v>18</v>
      </c>
    </row>
    <row r="1456" spans="2:13" x14ac:dyDescent="0.25">
      <c r="B1456" s="11" t="s">
        <v>3841</v>
      </c>
      <c r="C1456" s="105">
        <v>45754</v>
      </c>
      <c r="D1456" s="12" t="s">
        <v>211</v>
      </c>
      <c r="E1456" s="67"/>
      <c r="F1456" s="12" t="s">
        <v>3842</v>
      </c>
      <c r="G1456" s="98"/>
      <c r="H1456" s="67"/>
      <c r="I1456" s="71"/>
      <c r="J1456" s="72">
        <v>33290</v>
      </c>
      <c r="K1456" s="88" t="s">
        <v>17</v>
      </c>
      <c r="L1456" s="73"/>
      <c r="M1456" s="11" t="s">
        <v>3698</v>
      </c>
    </row>
    <row r="1457" spans="2:13" x14ac:dyDescent="0.25">
      <c r="B1457" s="11" t="s">
        <v>3843</v>
      </c>
      <c r="C1457" s="105">
        <v>45755</v>
      </c>
      <c r="D1457" t="s">
        <v>44</v>
      </c>
      <c r="E1457" s="67"/>
      <c r="F1457" s="12" t="s">
        <v>3844</v>
      </c>
      <c r="G1457" s="98"/>
      <c r="H1457" s="67"/>
      <c r="I1457" s="71"/>
      <c r="J1457" s="72">
        <v>600</v>
      </c>
      <c r="K1457" s="88" t="s">
        <v>17</v>
      </c>
      <c r="L1457" s="73"/>
      <c r="M1457" s="11" t="s">
        <v>31</v>
      </c>
    </row>
    <row r="1458" spans="2:13" x14ac:dyDescent="0.25">
      <c r="B1458" s="11" t="s">
        <v>3845</v>
      </c>
      <c r="C1458" s="105">
        <v>45755</v>
      </c>
      <c r="D1458" s="102" t="s">
        <v>33</v>
      </c>
      <c r="E1458" s="67"/>
      <c r="F1458" t="s">
        <v>107</v>
      </c>
      <c r="G1458" s="98"/>
      <c r="H1458" s="67"/>
      <c r="I1458" s="71"/>
      <c r="J1458" s="72">
        <v>7750</v>
      </c>
      <c r="K1458" s="88" t="s">
        <v>17</v>
      </c>
      <c r="L1458" s="73"/>
      <c r="M1458" s="11" t="s">
        <v>18</v>
      </c>
    </row>
    <row r="1459" spans="2:13" x14ac:dyDescent="0.25">
      <c r="B1459" s="11" t="s">
        <v>3846</v>
      </c>
      <c r="C1459" s="105">
        <v>45755</v>
      </c>
      <c r="D1459" s="12" t="s">
        <v>3847</v>
      </c>
      <c r="E1459" s="67"/>
      <c r="F1459" s="12" t="s">
        <v>679</v>
      </c>
      <c r="G1459" s="98"/>
      <c r="H1459" s="67"/>
      <c r="I1459" s="71"/>
      <c r="J1459" s="72">
        <v>2383.6999999999998</v>
      </c>
      <c r="K1459" s="88" t="s">
        <v>1874</v>
      </c>
      <c r="L1459" s="73"/>
      <c r="M1459" s="11" t="s">
        <v>18</v>
      </c>
    </row>
    <row r="1460" spans="2:13" x14ac:dyDescent="0.25">
      <c r="B1460" s="11" t="s">
        <v>3848</v>
      </c>
      <c r="C1460" s="105">
        <v>45757</v>
      </c>
      <c r="D1460" s="12" t="s">
        <v>3849</v>
      </c>
      <c r="E1460" s="67"/>
      <c r="F1460" s="12"/>
      <c r="G1460" s="98"/>
      <c r="H1460" s="67"/>
      <c r="I1460" s="71"/>
      <c r="J1460" s="72"/>
      <c r="K1460" s="88" t="s">
        <v>461</v>
      </c>
      <c r="L1460" s="73"/>
      <c r="M1460" s="11" t="s">
        <v>3341</v>
      </c>
    </row>
    <row r="1461" spans="2:13" x14ac:dyDescent="0.25">
      <c r="B1461" s="11" t="s">
        <v>3850</v>
      </c>
      <c r="C1461" s="105">
        <v>45758</v>
      </c>
      <c r="D1461" t="s">
        <v>3851</v>
      </c>
      <c r="E1461" s="67"/>
      <c r="F1461" s="12" t="s">
        <v>3852</v>
      </c>
      <c r="G1461" s="98"/>
      <c r="H1461" s="67"/>
      <c r="I1461" s="71"/>
      <c r="J1461" s="72">
        <v>1750</v>
      </c>
      <c r="K1461" s="88" t="s">
        <v>17</v>
      </c>
      <c r="L1461" s="73"/>
      <c r="M1461" s="11" t="s">
        <v>18</v>
      </c>
    </row>
    <row r="1462" spans="2:13" x14ac:dyDescent="0.25">
      <c r="B1462" s="11" t="s">
        <v>3853</v>
      </c>
      <c r="C1462" s="105">
        <v>45758</v>
      </c>
      <c r="D1462" s="12" t="s">
        <v>115</v>
      </c>
      <c r="E1462" s="67"/>
      <c r="F1462" s="12" t="s">
        <v>3854</v>
      </c>
      <c r="G1462" s="98"/>
      <c r="H1462" s="67"/>
      <c r="I1462" s="71"/>
      <c r="J1462" s="72">
        <v>4788.8999999999996</v>
      </c>
      <c r="K1462" s="88" t="s">
        <v>17</v>
      </c>
      <c r="L1462" s="73"/>
      <c r="M1462" s="11" t="s">
        <v>31</v>
      </c>
    </row>
    <row r="1463" spans="2:13" x14ac:dyDescent="0.25">
      <c r="B1463" s="11" t="s">
        <v>3855</v>
      </c>
      <c r="C1463" s="105">
        <v>45758</v>
      </c>
      <c r="D1463" s="12" t="s">
        <v>3726</v>
      </c>
      <c r="E1463" s="67"/>
      <c r="F1463" s="12" t="s">
        <v>3856</v>
      </c>
      <c r="G1463" s="98"/>
      <c r="H1463" s="67"/>
      <c r="I1463" s="71"/>
      <c r="J1463" s="72">
        <v>2530</v>
      </c>
      <c r="K1463" s="88" t="s">
        <v>1874</v>
      </c>
      <c r="L1463" s="73"/>
      <c r="M1463" s="11" t="s">
        <v>31</v>
      </c>
    </row>
    <row r="1464" spans="2:13" x14ac:dyDescent="0.25">
      <c r="B1464" s="11" t="s">
        <v>3857</v>
      </c>
      <c r="C1464" s="105">
        <v>45758</v>
      </c>
      <c r="D1464" s="12" t="s">
        <v>115</v>
      </c>
      <c r="E1464" s="67"/>
      <c r="F1464" s="12" t="s">
        <v>3396</v>
      </c>
      <c r="G1464" s="98"/>
      <c r="H1464" s="67"/>
      <c r="I1464" s="71"/>
      <c r="J1464" s="72">
        <v>8775</v>
      </c>
      <c r="K1464" s="88" t="s">
        <v>17</v>
      </c>
      <c r="L1464" s="73"/>
      <c r="M1464" s="11" t="s">
        <v>31</v>
      </c>
    </row>
    <row r="1465" spans="2:13" x14ac:dyDescent="0.25">
      <c r="B1465" s="11" t="s">
        <v>3858</v>
      </c>
      <c r="C1465" s="105">
        <v>45759</v>
      </c>
      <c r="D1465" s="12" t="s">
        <v>27</v>
      </c>
      <c r="E1465" s="67"/>
      <c r="F1465" s="12" t="s">
        <v>3859</v>
      </c>
      <c r="G1465" s="98"/>
      <c r="H1465" s="67"/>
      <c r="I1465" s="71"/>
      <c r="J1465" s="72">
        <v>6800</v>
      </c>
      <c r="K1465" s="88" t="s">
        <v>17</v>
      </c>
      <c r="L1465" s="73"/>
      <c r="M1465" s="11" t="s">
        <v>31</v>
      </c>
    </row>
    <row r="1466" spans="2:13" x14ac:dyDescent="0.25">
      <c r="B1466" s="11" t="s">
        <v>3860</v>
      </c>
      <c r="C1466" s="105">
        <v>45761</v>
      </c>
      <c r="D1466" s="12" t="s">
        <v>3861</v>
      </c>
      <c r="E1466" s="67"/>
      <c r="F1466" s="12" t="s">
        <v>3862</v>
      </c>
      <c r="G1466" s="98"/>
      <c r="H1466" s="67"/>
      <c r="I1466" s="71"/>
      <c r="J1466" s="72">
        <v>348.75</v>
      </c>
      <c r="K1466" s="88" t="s">
        <v>17</v>
      </c>
      <c r="L1466" s="73"/>
      <c r="M1466" s="11" t="s">
        <v>18</v>
      </c>
    </row>
    <row r="1467" spans="2:13" x14ac:dyDescent="0.25">
      <c r="B1467" s="11" t="s">
        <v>3863</v>
      </c>
      <c r="C1467" s="105">
        <v>45761</v>
      </c>
      <c r="D1467" t="s">
        <v>27</v>
      </c>
      <c r="E1467" s="67"/>
      <c r="F1467" s="12" t="s">
        <v>3864</v>
      </c>
      <c r="G1467" s="98"/>
      <c r="H1467" s="67"/>
      <c r="I1467" s="71"/>
      <c r="J1467" s="72">
        <v>7137</v>
      </c>
      <c r="K1467" s="88" t="s">
        <v>17</v>
      </c>
      <c r="L1467" s="73"/>
      <c r="M1467" s="11" t="s">
        <v>31</v>
      </c>
    </row>
    <row r="1468" spans="2:13" x14ac:dyDescent="0.25">
      <c r="B1468" s="11" t="s">
        <v>3865</v>
      </c>
      <c r="C1468" s="105">
        <v>45762</v>
      </c>
      <c r="D1468" s="12" t="s">
        <v>1060</v>
      </c>
      <c r="E1468" s="67"/>
      <c r="F1468" s="12" t="s">
        <v>3866</v>
      </c>
      <c r="G1468" s="98"/>
      <c r="H1468" s="67"/>
      <c r="I1468" s="71"/>
      <c r="J1468" s="72">
        <v>4539</v>
      </c>
      <c r="K1468" s="88" t="s">
        <v>17</v>
      </c>
      <c r="L1468" s="73"/>
      <c r="M1468" s="11" t="s">
        <v>31</v>
      </c>
    </row>
    <row r="1469" spans="2:13" x14ac:dyDescent="0.25">
      <c r="B1469" s="11" t="s">
        <v>3867</v>
      </c>
      <c r="C1469" s="105">
        <v>45763</v>
      </c>
      <c r="D1469" s="12" t="s">
        <v>463</v>
      </c>
      <c r="E1469" s="67"/>
      <c r="F1469" s="12" t="s">
        <v>3868</v>
      </c>
      <c r="G1469" s="98"/>
      <c r="H1469" s="67"/>
      <c r="I1469" s="71"/>
      <c r="J1469" s="72">
        <v>2925</v>
      </c>
      <c r="K1469" s="88" t="s">
        <v>17</v>
      </c>
      <c r="L1469" s="73"/>
      <c r="M1469" s="11" t="s">
        <v>18</v>
      </c>
    </row>
    <row r="1470" spans="2:13" x14ac:dyDescent="0.25">
      <c r="B1470" s="11" t="s">
        <v>3869</v>
      </c>
      <c r="C1470" s="105">
        <v>45762</v>
      </c>
      <c r="D1470" s="102" t="s">
        <v>3870</v>
      </c>
      <c r="E1470" s="67"/>
      <c r="F1470" s="102" t="s">
        <v>3871</v>
      </c>
      <c r="G1470" s="98"/>
      <c r="H1470" s="67"/>
      <c r="I1470" s="71"/>
      <c r="J1470" s="72">
        <v>6135.25</v>
      </c>
      <c r="K1470" s="88" t="s">
        <v>17</v>
      </c>
      <c r="L1470" s="73"/>
      <c r="M1470" s="11" t="s">
        <v>18</v>
      </c>
    </row>
    <row r="1471" spans="2:13" x14ac:dyDescent="0.25">
      <c r="B1471" s="11" t="s">
        <v>3872</v>
      </c>
      <c r="C1471" s="105">
        <v>45762</v>
      </c>
      <c r="D1471" s="12" t="s">
        <v>463</v>
      </c>
      <c r="E1471" s="67"/>
      <c r="F1471" s="12" t="s">
        <v>3873</v>
      </c>
      <c r="G1471" s="98"/>
      <c r="H1471" s="67"/>
      <c r="I1471" s="71"/>
      <c r="J1471" s="72">
        <v>8250</v>
      </c>
      <c r="K1471" s="88" t="s">
        <v>17</v>
      </c>
      <c r="L1471" s="73"/>
      <c r="M1471" s="11" t="s">
        <v>3698</v>
      </c>
    </row>
    <row r="1472" spans="2:13" x14ac:dyDescent="0.25">
      <c r="B1472" s="11" t="s">
        <v>3874</v>
      </c>
      <c r="C1472" s="105">
        <v>45763</v>
      </c>
      <c r="D1472" s="12" t="s">
        <v>3870</v>
      </c>
      <c r="E1472" s="67"/>
      <c r="F1472" s="12" t="s">
        <v>1348</v>
      </c>
      <c r="G1472" s="98"/>
      <c r="H1472" s="67"/>
      <c r="I1472" s="71"/>
      <c r="J1472" s="72">
        <v>1275</v>
      </c>
      <c r="K1472" s="88" t="s">
        <v>17</v>
      </c>
      <c r="L1472" s="73"/>
      <c r="M1472" s="11" t="s">
        <v>31</v>
      </c>
    </row>
    <row r="1473" spans="2:13" x14ac:dyDescent="0.25">
      <c r="B1473" s="11" t="s">
        <v>3875</v>
      </c>
      <c r="C1473" s="105">
        <v>45764</v>
      </c>
      <c r="D1473" s="12" t="s">
        <v>3298</v>
      </c>
      <c r="E1473" s="67"/>
      <c r="F1473" s="12" t="s">
        <v>3876</v>
      </c>
      <c r="G1473" s="98"/>
      <c r="H1473" s="67"/>
      <c r="I1473" s="71"/>
      <c r="J1473" s="72">
        <v>1265</v>
      </c>
      <c r="K1473" s="88" t="s">
        <v>3261</v>
      </c>
      <c r="L1473" s="73"/>
      <c r="M1473" s="11" t="s">
        <v>31</v>
      </c>
    </row>
    <row r="1474" spans="2:13" x14ac:dyDescent="0.25">
      <c r="B1474" s="11" t="s">
        <v>3877</v>
      </c>
      <c r="C1474" s="105">
        <v>45763</v>
      </c>
      <c r="D1474" s="12" t="s">
        <v>193</v>
      </c>
      <c r="E1474" s="67"/>
      <c r="F1474" s="12" t="s">
        <v>22</v>
      </c>
      <c r="G1474" s="98"/>
      <c r="H1474" s="67"/>
      <c r="I1474" s="71"/>
      <c r="J1474" s="72">
        <v>395</v>
      </c>
      <c r="K1474" s="88" t="s">
        <v>17</v>
      </c>
      <c r="L1474" s="73"/>
      <c r="M1474" s="11" t="s">
        <v>18</v>
      </c>
    </row>
    <row r="1475" spans="2:13" x14ac:dyDescent="0.25">
      <c r="B1475" s="11" t="s">
        <v>3878</v>
      </c>
      <c r="C1475" s="105">
        <v>45763</v>
      </c>
      <c r="D1475" s="12" t="s">
        <v>1002</v>
      </c>
      <c r="E1475" s="67"/>
      <c r="F1475" s="12" t="s">
        <v>3879</v>
      </c>
      <c r="G1475" s="98"/>
      <c r="H1475" s="67"/>
      <c r="I1475" s="71"/>
      <c r="J1475" s="72">
        <v>465</v>
      </c>
      <c r="K1475" s="88" t="s">
        <v>17</v>
      </c>
      <c r="L1475" s="73"/>
      <c r="M1475" s="11" t="s">
        <v>18</v>
      </c>
    </row>
    <row r="1476" spans="2:13" x14ac:dyDescent="0.25">
      <c r="B1476" s="11" t="s">
        <v>3880</v>
      </c>
      <c r="C1476" s="105">
        <v>45786</v>
      </c>
      <c r="D1476" s="12" t="s">
        <v>3851</v>
      </c>
      <c r="E1476" s="67"/>
      <c r="F1476" s="12" t="s">
        <v>3835</v>
      </c>
      <c r="G1476" s="98"/>
      <c r="H1476" s="67"/>
      <c r="I1476" s="71"/>
      <c r="J1476" s="72">
        <v>600</v>
      </c>
      <c r="K1476" s="88" t="s">
        <v>17</v>
      </c>
      <c r="L1476" s="73"/>
      <c r="M1476" s="11" t="s">
        <v>31</v>
      </c>
    </row>
    <row r="1477" spans="2:13" x14ac:dyDescent="0.25">
      <c r="B1477" s="11" t="s">
        <v>3881</v>
      </c>
      <c r="C1477" s="105">
        <v>45764</v>
      </c>
      <c r="D1477" t="s">
        <v>27</v>
      </c>
      <c r="E1477" s="67"/>
      <c r="F1477" t="s">
        <v>2671</v>
      </c>
      <c r="G1477" s="98"/>
      <c r="H1477" s="67"/>
      <c r="I1477" s="71"/>
      <c r="J1477" s="72">
        <v>1400</v>
      </c>
      <c r="K1477" s="88" t="s">
        <v>17</v>
      </c>
      <c r="L1477" s="73"/>
      <c r="M1477" s="11" t="s">
        <v>31</v>
      </c>
    </row>
    <row r="1478" spans="2:13" x14ac:dyDescent="0.25">
      <c r="B1478" s="11" t="s">
        <v>3882</v>
      </c>
      <c r="C1478" s="105">
        <v>45764</v>
      </c>
      <c r="D1478" s="12" t="s">
        <v>241</v>
      </c>
      <c r="E1478" s="67"/>
      <c r="F1478" s="12" t="s">
        <v>3883</v>
      </c>
      <c r="G1478" s="98"/>
      <c r="H1478" s="67"/>
      <c r="I1478" s="71"/>
      <c r="J1478" s="72">
        <v>140</v>
      </c>
      <c r="K1478" s="88" t="s">
        <v>17</v>
      </c>
      <c r="L1478" s="73"/>
      <c r="M1478" s="11" t="s">
        <v>18</v>
      </c>
    </row>
    <row r="1479" spans="2:13" x14ac:dyDescent="0.25">
      <c r="B1479" s="11" t="s">
        <v>3884</v>
      </c>
      <c r="C1479" s="105">
        <v>45766</v>
      </c>
      <c r="D1479" t="s">
        <v>654</v>
      </c>
      <c r="E1479" s="67"/>
      <c r="F1479" t="s">
        <v>120</v>
      </c>
      <c r="G1479" s="98"/>
      <c r="H1479" s="67"/>
      <c r="I1479" s="71"/>
      <c r="J1479" s="72">
        <v>4200</v>
      </c>
      <c r="K1479" s="88" t="s">
        <v>17</v>
      </c>
      <c r="L1479" s="73"/>
      <c r="M1479" s="11" t="s">
        <v>31</v>
      </c>
    </row>
    <row r="1480" spans="2:13" x14ac:dyDescent="0.25">
      <c r="B1480" s="11" t="s">
        <v>3885</v>
      </c>
      <c r="C1480" s="105">
        <v>45766</v>
      </c>
      <c r="D1480" s="12" t="s">
        <v>3772</v>
      </c>
      <c r="E1480" s="67"/>
      <c r="F1480" s="12" t="s">
        <v>3886</v>
      </c>
      <c r="G1480" s="98"/>
      <c r="H1480" s="67"/>
      <c r="I1480" s="71"/>
      <c r="J1480" s="72">
        <v>432</v>
      </c>
      <c r="K1480" s="88" t="s">
        <v>17</v>
      </c>
      <c r="L1480" s="73"/>
      <c r="M1480" s="11" t="s">
        <v>18</v>
      </c>
    </row>
    <row r="1481" spans="2:13" x14ac:dyDescent="0.25">
      <c r="B1481" s="11" t="s">
        <v>3887</v>
      </c>
      <c r="C1481" s="105">
        <v>45766</v>
      </c>
      <c r="D1481" s="12" t="s">
        <v>211</v>
      </c>
      <c r="E1481" s="67"/>
      <c r="F1481" s="12" t="s">
        <v>3888</v>
      </c>
      <c r="G1481" s="98"/>
      <c r="H1481" s="67"/>
      <c r="I1481" s="71"/>
      <c r="J1481" s="72">
        <v>650</v>
      </c>
      <c r="K1481" s="88" t="s">
        <v>17</v>
      </c>
      <c r="L1481" s="73"/>
      <c r="M1481" s="11" t="s">
        <v>18</v>
      </c>
    </row>
    <row r="1482" spans="2:13" x14ac:dyDescent="0.25">
      <c r="B1482" s="11" t="s">
        <v>3889</v>
      </c>
      <c r="C1482" s="105">
        <v>45768</v>
      </c>
      <c r="D1482" t="s">
        <v>3890</v>
      </c>
      <c r="E1482" s="67"/>
      <c r="F1482" s="12" t="s">
        <v>3891</v>
      </c>
      <c r="G1482" s="98"/>
      <c r="H1482" s="67"/>
      <c r="I1482" s="71"/>
      <c r="J1482" s="72">
        <v>477.5</v>
      </c>
      <c r="K1482" s="88" t="s">
        <v>17</v>
      </c>
      <c r="L1482" s="73"/>
      <c r="M1482" s="11" t="s">
        <v>18</v>
      </c>
    </row>
    <row r="1483" spans="2:13" x14ac:dyDescent="0.25">
      <c r="B1483" s="11" t="s">
        <v>3892</v>
      </c>
      <c r="C1483" s="105">
        <v>45769</v>
      </c>
      <c r="D1483" t="s">
        <v>27</v>
      </c>
      <c r="E1483" s="67"/>
      <c r="F1483" t="s">
        <v>3893</v>
      </c>
      <c r="G1483" s="98"/>
      <c r="H1483" s="67"/>
      <c r="I1483" s="71"/>
      <c r="J1483" s="72">
        <v>55</v>
      </c>
      <c r="K1483" s="88" t="s">
        <v>17</v>
      </c>
      <c r="L1483" s="73"/>
      <c r="M1483" s="11" t="s">
        <v>18</v>
      </c>
    </row>
    <row r="1484" spans="2:13" x14ac:dyDescent="0.25">
      <c r="B1484" s="11" t="s">
        <v>3894</v>
      </c>
      <c r="C1484" s="105">
        <v>45769</v>
      </c>
      <c r="D1484" t="s">
        <v>463</v>
      </c>
      <c r="E1484" s="67"/>
      <c r="F1484" s="12" t="s">
        <v>3895</v>
      </c>
      <c r="G1484" s="98"/>
      <c r="H1484" s="67"/>
      <c r="I1484" s="71"/>
      <c r="J1484" s="72">
        <v>525</v>
      </c>
      <c r="K1484" s="88" t="s">
        <v>17</v>
      </c>
      <c r="L1484" s="73"/>
      <c r="M1484" s="11" t="s">
        <v>31</v>
      </c>
    </row>
    <row r="1485" spans="2:13" x14ac:dyDescent="0.25">
      <c r="B1485" s="11" t="s">
        <v>3896</v>
      </c>
      <c r="C1485" s="105">
        <v>45769</v>
      </c>
      <c r="D1485" s="12" t="s">
        <v>3897</v>
      </c>
      <c r="E1485" s="67"/>
      <c r="F1485" s="12" t="s">
        <v>3898</v>
      </c>
      <c r="G1485" s="98"/>
      <c r="H1485" s="67"/>
      <c r="I1485" s="71"/>
      <c r="J1485" s="72">
        <v>5365</v>
      </c>
      <c r="K1485" s="88" t="s">
        <v>17</v>
      </c>
      <c r="L1485" s="73"/>
      <c r="M1485" s="11" t="s">
        <v>18</v>
      </c>
    </row>
    <row r="1486" spans="2:13" x14ac:dyDescent="0.25">
      <c r="B1486" s="11" t="s">
        <v>3899</v>
      </c>
      <c r="C1486" s="105">
        <v>45769</v>
      </c>
      <c r="D1486" t="s">
        <v>27</v>
      </c>
      <c r="E1486" s="67"/>
      <c r="F1486" t="s">
        <v>3900</v>
      </c>
      <c r="G1486" s="98"/>
      <c r="H1486" s="67"/>
      <c r="I1486" s="71"/>
      <c r="J1486" s="72">
        <v>13288.5</v>
      </c>
      <c r="K1486" s="88" t="s">
        <v>17</v>
      </c>
      <c r="L1486" s="73"/>
      <c r="M1486" s="11" t="s">
        <v>31</v>
      </c>
    </row>
    <row r="1487" spans="2:13" x14ac:dyDescent="0.25">
      <c r="B1487" s="11" t="s">
        <v>3901</v>
      </c>
      <c r="C1487" s="105">
        <v>45769</v>
      </c>
      <c r="D1487" s="12" t="s">
        <v>241</v>
      </c>
      <c r="E1487" s="67"/>
      <c r="F1487" s="12" t="s">
        <v>3902</v>
      </c>
      <c r="G1487" s="98"/>
      <c r="H1487" s="67"/>
      <c r="I1487" s="71"/>
      <c r="J1487" s="72">
        <v>1275</v>
      </c>
      <c r="K1487" s="88" t="s">
        <v>17</v>
      </c>
      <c r="L1487" s="73"/>
      <c r="M1487" s="11" t="s">
        <v>31</v>
      </c>
    </row>
    <row r="1488" spans="2:13" x14ac:dyDescent="0.25">
      <c r="B1488" s="11" t="s">
        <v>3903</v>
      </c>
      <c r="C1488" s="105">
        <v>45769</v>
      </c>
      <c r="D1488" t="s">
        <v>3904</v>
      </c>
      <c r="E1488" s="67"/>
      <c r="F1488" s="12" t="s">
        <v>3905</v>
      </c>
      <c r="G1488" s="98"/>
      <c r="H1488" s="67"/>
      <c r="I1488" s="71"/>
      <c r="J1488" s="72">
        <v>1000</v>
      </c>
      <c r="K1488" s="88" t="s">
        <v>3261</v>
      </c>
      <c r="L1488" s="73"/>
      <c r="M1488" s="11" t="s">
        <v>31</v>
      </c>
    </row>
    <row r="1489" spans="2:13" x14ac:dyDescent="0.25">
      <c r="B1489" s="11" t="s">
        <v>3906</v>
      </c>
      <c r="C1489" s="105">
        <v>45770</v>
      </c>
      <c r="D1489" s="12" t="s">
        <v>115</v>
      </c>
      <c r="E1489" s="67"/>
      <c r="F1489" t="s">
        <v>233</v>
      </c>
      <c r="G1489" s="98"/>
      <c r="H1489" s="67"/>
      <c r="I1489" s="71"/>
      <c r="J1489" s="72">
        <v>375</v>
      </c>
      <c r="K1489" s="88" t="s">
        <v>17</v>
      </c>
      <c r="L1489" s="73"/>
      <c r="M1489" s="11" t="s">
        <v>31</v>
      </c>
    </row>
    <row r="1490" spans="2:13" x14ac:dyDescent="0.25">
      <c r="B1490" s="11" t="s">
        <v>3907</v>
      </c>
      <c r="C1490" s="105">
        <v>45770</v>
      </c>
      <c r="D1490" s="12" t="s">
        <v>3908</v>
      </c>
      <c r="E1490" s="67"/>
      <c r="F1490" s="12" t="s">
        <v>3909</v>
      </c>
      <c r="G1490" s="98"/>
      <c r="H1490" s="67"/>
      <c r="I1490" s="71"/>
      <c r="J1490" s="72">
        <v>13700</v>
      </c>
      <c r="K1490" s="88" t="s">
        <v>17</v>
      </c>
      <c r="L1490" s="73"/>
      <c r="M1490" s="11" t="s">
        <v>18</v>
      </c>
    </row>
    <row r="1491" spans="2:13" x14ac:dyDescent="0.25">
      <c r="B1491" s="11" t="s">
        <v>3910</v>
      </c>
      <c r="C1491" s="105">
        <v>45769</v>
      </c>
      <c r="D1491" s="12" t="s">
        <v>3911</v>
      </c>
      <c r="E1491" s="67"/>
      <c r="F1491" s="12" t="s">
        <v>3912</v>
      </c>
      <c r="G1491" s="98"/>
      <c r="H1491" s="67"/>
      <c r="I1491" s="71"/>
      <c r="J1491" s="72">
        <v>1450</v>
      </c>
      <c r="K1491" s="88" t="s">
        <v>17</v>
      </c>
      <c r="L1491" s="73"/>
      <c r="M1491" s="11" t="s">
        <v>18</v>
      </c>
    </row>
    <row r="1492" spans="2:13" x14ac:dyDescent="0.25">
      <c r="B1492" s="11" t="s">
        <v>3913</v>
      </c>
      <c r="C1492" s="105">
        <v>45769</v>
      </c>
      <c r="D1492" s="12" t="s">
        <v>3914</v>
      </c>
      <c r="E1492" s="67"/>
      <c r="F1492" t="s">
        <v>3835</v>
      </c>
      <c r="G1492" s="98"/>
      <c r="H1492" s="67"/>
      <c r="I1492" s="71"/>
      <c r="J1492" s="72">
        <v>285</v>
      </c>
      <c r="K1492" s="88" t="s">
        <v>17</v>
      </c>
      <c r="L1492" s="73"/>
      <c r="M1492" s="11" t="s">
        <v>31</v>
      </c>
    </row>
    <row r="1493" spans="2:13" x14ac:dyDescent="0.25">
      <c r="B1493" s="11" t="s">
        <v>3915</v>
      </c>
      <c r="C1493" s="105">
        <v>45770</v>
      </c>
      <c r="D1493" s="12" t="s">
        <v>115</v>
      </c>
      <c r="E1493" s="67"/>
      <c r="F1493" s="12" t="s">
        <v>3916</v>
      </c>
      <c r="G1493" s="98"/>
      <c r="H1493" s="67"/>
      <c r="I1493" s="71"/>
      <c r="J1493" s="72">
        <v>475</v>
      </c>
      <c r="K1493" s="88" t="s">
        <v>17</v>
      </c>
      <c r="L1493" s="73"/>
      <c r="M1493" s="11" t="s">
        <v>31</v>
      </c>
    </row>
    <row r="1494" spans="2:13" x14ac:dyDescent="0.25">
      <c r="B1494" s="11" t="s">
        <v>3917</v>
      </c>
      <c r="C1494" s="105">
        <v>45770</v>
      </c>
      <c r="D1494" s="12" t="s">
        <v>3918</v>
      </c>
      <c r="E1494" s="67"/>
      <c r="F1494" s="12" t="s">
        <v>3919</v>
      </c>
      <c r="G1494" s="98"/>
      <c r="H1494" s="67"/>
      <c r="I1494" s="71"/>
      <c r="J1494" s="72">
        <v>60000</v>
      </c>
      <c r="K1494" s="88" t="s">
        <v>17</v>
      </c>
      <c r="L1494" s="73"/>
      <c r="M1494" s="11" t="s">
        <v>18</v>
      </c>
    </row>
    <row r="1495" spans="2:13" x14ac:dyDescent="0.25">
      <c r="B1495" s="11" t="s">
        <v>3920</v>
      </c>
      <c r="C1495" s="105">
        <v>45770</v>
      </c>
      <c r="D1495" s="12" t="s">
        <v>3890</v>
      </c>
      <c r="E1495" s="67"/>
      <c r="F1495" s="12" t="s">
        <v>3921</v>
      </c>
      <c r="G1495" s="98"/>
      <c r="H1495" s="67"/>
      <c r="I1495" s="71"/>
      <c r="J1495" s="72">
        <v>477.5</v>
      </c>
      <c r="K1495" s="88" t="s">
        <v>17</v>
      </c>
      <c r="L1495" s="73"/>
      <c r="M1495" s="11" t="s">
        <v>18</v>
      </c>
    </row>
    <row r="1496" spans="2:13" x14ac:dyDescent="0.25">
      <c r="B1496" s="11" t="s">
        <v>3922</v>
      </c>
      <c r="C1496" s="105">
        <v>45770</v>
      </c>
      <c r="D1496" s="12" t="s">
        <v>426</v>
      </c>
      <c r="E1496" s="67"/>
      <c r="F1496" s="10" t="s">
        <v>3923</v>
      </c>
      <c r="G1496" s="98"/>
      <c r="H1496" s="67"/>
      <c r="I1496" s="71"/>
      <c r="J1496" s="72">
        <v>3000</v>
      </c>
      <c r="K1496" s="88" t="s">
        <v>17</v>
      </c>
      <c r="L1496" s="73"/>
      <c r="M1496" s="11" t="s">
        <v>31</v>
      </c>
    </row>
    <row r="1497" spans="2:13" x14ac:dyDescent="0.25">
      <c r="B1497" s="11" t="s">
        <v>3924</v>
      </c>
      <c r="C1497" s="105">
        <v>45771</v>
      </c>
      <c r="D1497" s="12" t="s">
        <v>27</v>
      </c>
      <c r="E1497" s="67"/>
      <c r="F1497" s="12" t="s">
        <v>3925</v>
      </c>
      <c r="G1497" s="98"/>
      <c r="H1497" s="67"/>
      <c r="I1497" s="71"/>
      <c r="J1497" s="72">
        <v>712.5</v>
      </c>
      <c r="K1497" s="88" t="s">
        <v>17</v>
      </c>
      <c r="L1497" s="73"/>
      <c r="M1497" s="11" t="s">
        <v>18</v>
      </c>
    </row>
    <row r="1498" spans="2:13" x14ac:dyDescent="0.25">
      <c r="B1498" s="11" t="s">
        <v>3926</v>
      </c>
      <c r="C1498" s="105">
        <v>45771</v>
      </c>
      <c r="D1498" s="12" t="s">
        <v>3927</v>
      </c>
      <c r="E1498" s="67"/>
      <c r="F1498" s="12" t="s">
        <v>3826</v>
      </c>
      <c r="G1498" s="98"/>
      <c r="H1498" s="67"/>
      <c r="I1498" s="71"/>
      <c r="J1498" s="72">
        <v>2250</v>
      </c>
      <c r="K1498" s="88" t="s">
        <v>17</v>
      </c>
      <c r="L1498" s="73"/>
      <c r="M1498" s="11" t="s">
        <v>18</v>
      </c>
    </row>
    <row r="1499" spans="2:13" x14ac:dyDescent="0.25">
      <c r="B1499" s="11" t="s">
        <v>3928</v>
      </c>
      <c r="C1499" s="105">
        <v>45771</v>
      </c>
      <c r="D1499" s="12" t="s">
        <v>241</v>
      </c>
      <c r="E1499" s="67"/>
      <c r="F1499" s="12" t="s">
        <v>3929</v>
      </c>
      <c r="G1499" s="98"/>
      <c r="H1499" s="67"/>
      <c r="I1499" s="71"/>
      <c r="J1499" s="72">
        <v>405</v>
      </c>
      <c r="K1499" s="88" t="s">
        <v>17</v>
      </c>
      <c r="L1499" s="73"/>
      <c r="M1499" s="11" t="s">
        <v>31</v>
      </c>
    </row>
    <row r="1500" spans="2:13" x14ac:dyDescent="0.25">
      <c r="B1500" s="11" t="s">
        <v>3930</v>
      </c>
      <c r="C1500" s="105">
        <v>45772</v>
      </c>
      <c r="D1500" s="12" t="s">
        <v>154</v>
      </c>
      <c r="E1500" s="67"/>
      <c r="F1500" s="12" t="s">
        <v>3931</v>
      </c>
      <c r="G1500" s="98"/>
      <c r="H1500" s="67"/>
      <c r="I1500" s="71"/>
      <c r="J1500" s="72">
        <v>2100</v>
      </c>
      <c r="K1500" s="88" t="s">
        <v>1794</v>
      </c>
      <c r="L1500" s="73"/>
      <c r="M1500" s="11" t="s">
        <v>31</v>
      </c>
    </row>
    <row r="1501" spans="2:13" x14ac:dyDescent="0.25">
      <c r="B1501" s="11" t="s">
        <v>3932</v>
      </c>
      <c r="C1501" s="105">
        <v>45772</v>
      </c>
      <c r="D1501" s="12" t="s">
        <v>1060</v>
      </c>
      <c r="E1501" s="67"/>
      <c r="F1501" s="12" t="s">
        <v>932</v>
      </c>
      <c r="G1501" s="98"/>
      <c r="H1501" s="67"/>
      <c r="I1501" s="71"/>
      <c r="J1501" s="72">
        <v>2055</v>
      </c>
      <c r="K1501" s="88" t="s">
        <v>17</v>
      </c>
      <c r="L1501" s="73"/>
      <c r="M1501" s="11" t="s">
        <v>31</v>
      </c>
    </row>
    <row r="1502" spans="2:13" x14ac:dyDescent="0.25">
      <c r="B1502" s="11" t="s">
        <v>3933</v>
      </c>
      <c r="C1502" s="105">
        <v>45771</v>
      </c>
      <c r="D1502" s="12" t="s">
        <v>3298</v>
      </c>
      <c r="E1502" s="67"/>
      <c r="F1502" s="12" t="s">
        <v>3934</v>
      </c>
      <c r="G1502" s="98"/>
      <c r="H1502" s="67"/>
      <c r="I1502" s="71"/>
      <c r="J1502" s="72">
        <v>3602.5</v>
      </c>
      <c r="K1502" s="88" t="s">
        <v>17</v>
      </c>
      <c r="L1502" s="73"/>
      <c r="M1502" s="11" t="s">
        <v>31</v>
      </c>
    </row>
    <row r="1503" spans="2:13" x14ac:dyDescent="0.25">
      <c r="B1503" s="11" t="s">
        <v>3935</v>
      </c>
      <c r="C1503" s="105">
        <v>45771</v>
      </c>
      <c r="D1503" s="12" t="s">
        <v>3291</v>
      </c>
      <c r="E1503" s="67"/>
      <c r="F1503" s="12" t="s">
        <v>3936</v>
      </c>
      <c r="G1503" s="98"/>
      <c r="H1503" s="67"/>
      <c r="I1503" s="71"/>
      <c r="J1503" s="72">
        <v>1925</v>
      </c>
      <c r="K1503" s="88" t="s">
        <v>17</v>
      </c>
      <c r="L1503" s="73"/>
      <c r="M1503" s="11" t="s">
        <v>18</v>
      </c>
    </row>
    <row r="1504" spans="2:13" x14ac:dyDescent="0.25">
      <c r="B1504" s="11" t="s">
        <v>3937</v>
      </c>
      <c r="C1504" s="105">
        <v>45772</v>
      </c>
      <c r="D1504" s="12" t="s">
        <v>463</v>
      </c>
      <c r="E1504" s="67"/>
      <c r="F1504" s="12" t="s">
        <v>3938</v>
      </c>
      <c r="G1504" s="98"/>
      <c r="H1504" s="67"/>
      <c r="I1504" s="71"/>
      <c r="J1504" s="72">
        <v>1850</v>
      </c>
      <c r="K1504" s="88" t="s">
        <v>17</v>
      </c>
      <c r="L1504" s="73"/>
      <c r="M1504" s="11" t="s">
        <v>18</v>
      </c>
    </row>
    <row r="1505" spans="2:13" x14ac:dyDescent="0.25">
      <c r="B1505" s="11" t="s">
        <v>3939</v>
      </c>
      <c r="C1505" s="105">
        <v>45772</v>
      </c>
      <c r="D1505" s="12" t="s">
        <v>3071</v>
      </c>
      <c r="E1505" s="67"/>
      <c r="F1505" s="12" t="s">
        <v>3940</v>
      </c>
      <c r="G1505" s="98"/>
      <c r="H1505" s="67"/>
      <c r="I1505" s="71"/>
      <c r="J1505" s="72">
        <v>5500</v>
      </c>
      <c r="K1505" s="88" t="s">
        <v>17</v>
      </c>
      <c r="L1505" s="73"/>
      <c r="M1505" s="11" t="s">
        <v>18</v>
      </c>
    </row>
    <row r="1506" spans="2:13" x14ac:dyDescent="0.25">
      <c r="B1506" s="11" t="s">
        <v>3941</v>
      </c>
      <c r="C1506" s="105">
        <v>45773</v>
      </c>
      <c r="D1506" s="12" t="s">
        <v>3942</v>
      </c>
      <c r="E1506" s="67"/>
      <c r="F1506" s="12" t="s">
        <v>3136</v>
      </c>
      <c r="G1506" s="98"/>
      <c r="H1506" s="67"/>
      <c r="I1506" s="71"/>
      <c r="J1506" s="72">
        <v>4363</v>
      </c>
      <c r="K1506" s="88" t="s">
        <v>17</v>
      </c>
      <c r="L1506" s="73"/>
      <c r="M1506" s="11" t="s">
        <v>18</v>
      </c>
    </row>
    <row r="1507" spans="2:13" x14ac:dyDescent="0.25">
      <c r="B1507" s="11" t="s">
        <v>3943</v>
      </c>
      <c r="C1507" s="105">
        <v>45773</v>
      </c>
      <c r="D1507" s="12" t="s">
        <v>654</v>
      </c>
      <c r="E1507" s="67"/>
      <c r="F1507" s="12" t="s">
        <v>3944</v>
      </c>
      <c r="G1507" s="98"/>
      <c r="H1507" s="67"/>
      <c r="I1507" s="71"/>
      <c r="J1507" s="72">
        <v>1848.15</v>
      </c>
      <c r="K1507" s="88" t="s">
        <v>17</v>
      </c>
      <c r="L1507" s="73"/>
      <c r="M1507" s="11" t="s">
        <v>31</v>
      </c>
    </row>
    <row r="1508" spans="2:13" x14ac:dyDescent="0.25">
      <c r="B1508" s="11" t="s">
        <v>3945</v>
      </c>
      <c r="C1508" s="105">
        <v>45773</v>
      </c>
      <c r="D1508" s="12" t="s">
        <v>3808</v>
      </c>
      <c r="E1508" s="67"/>
      <c r="F1508" s="12" t="s">
        <v>3946</v>
      </c>
      <c r="G1508" s="98"/>
      <c r="H1508" s="67"/>
      <c r="I1508" s="71"/>
      <c r="J1508" s="72">
        <v>670</v>
      </c>
      <c r="K1508" s="88" t="s">
        <v>1874</v>
      </c>
      <c r="L1508" s="73"/>
      <c r="M1508" s="11" t="s">
        <v>31</v>
      </c>
    </row>
    <row r="1509" spans="2:13" x14ac:dyDescent="0.25">
      <c r="B1509" s="11" t="s">
        <v>3947</v>
      </c>
      <c r="C1509" s="105">
        <v>45773</v>
      </c>
      <c r="D1509" s="12" t="s">
        <v>654</v>
      </c>
      <c r="E1509" s="67"/>
      <c r="F1509" s="12" t="s">
        <v>3948</v>
      </c>
      <c r="G1509" s="98"/>
      <c r="H1509" s="67"/>
      <c r="I1509" s="71"/>
      <c r="J1509" s="72">
        <v>1650</v>
      </c>
      <c r="K1509" s="88" t="s">
        <v>17</v>
      </c>
      <c r="L1509" s="73"/>
      <c r="M1509" s="11" t="s">
        <v>18</v>
      </c>
    </row>
    <row r="1510" spans="2:13" x14ac:dyDescent="0.25">
      <c r="B1510" s="11" t="s">
        <v>3949</v>
      </c>
      <c r="C1510" s="105">
        <v>45775</v>
      </c>
      <c r="D1510" s="12" t="s">
        <v>642</v>
      </c>
      <c r="E1510" s="67"/>
      <c r="F1510" s="12" t="s">
        <v>3950</v>
      </c>
      <c r="G1510" s="98"/>
      <c r="H1510" s="67"/>
      <c r="I1510" s="71"/>
      <c r="J1510" s="72">
        <v>780</v>
      </c>
      <c r="K1510" s="88" t="s">
        <v>17</v>
      </c>
      <c r="L1510" s="73"/>
      <c r="M1510" s="11" t="s">
        <v>31</v>
      </c>
    </row>
    <row r="1511" spans="2:13" x14ac:dyDescent="0.25">
      <c r="B1511" s="11" t="s">
        <v>3951</v>
      </c>
      <c r="C1511" s="105">
        <v>45776</v>
      </c>
      <c r="D1511" s="12" t="s">
        <v>3008</v>
      </c>
      <c r="E1511" s="67"/>
      <c r="F1511" s="12" t="s">
        <v>3952</v>
      </c>
      <c r="G1511" s="98"/>
      <c r="H1511" s="67"/>
      <c r="I1511" s="71"/>
      <c r="J1511" s="72">
        <v>2570</v>
      </c>
      <c r="K1511" s="88" t="s">
        <v>1874</v>
      </c>
      <c r="L1511" s="73"/>
      <c r="M1511" s="11" t="s">
        <v>31</v>
      </c>
    </row>
    <row r="1512" spans="2:13" x14ac:dyDescent="0.25">
      <c r="B1512" s="11" t="s">
        <v>3953</v>
      </c>
      <c r="C1512" s="105">
        <v>45776</v>
      </c>
      <c r="D1512" t="s">
        <v>3661</v>
      </c>
      <c r="E1512" s="67"/>
      <c r="F1512" s="12" t="s">
        <v>3954</v>
      </c>
      <c r="G1512" s="98"/>
      <c r="H1512" s="67"/>
      <c r="I1512" s="71"/>
      <c r="J1512" s="72">
        <v>2135</v>
      </c>
      <c r="K1512" s="88" t="s">
        <v>17</v>
      </c>
      <c r="L1512" s="73"/>
      <c r="M1512" s="11" t="s">
        <v>31</v>
      </c>
    </row>
    <row r="1513" spans="2:13" x14ac:dyDescent="0.25">
      <c r="B1513" s="11" t="s">
        <v>3955</v>
      </c>
      <c r="C1513" s="105">
        <v>45775</v>
      </c>
      <c r="D1513" s="12" t="s">
        <v>3356</v>
      </c>
      <c r="E1513" s="67"/>
      <c r="F1513" s="12" t="s">
        <v>3956</v>
      </c>
      <c r="G1513" s="98"/>
      <c r="H1513" s="67"/>
      <c r="I1513" s="71"/>
      <c r="J1513" s="72">
        <v>235</v>
      </c>
      <c r="K1513" s="88" t="s">
        <v>1874</v>
      </c>
      <c r="L1513" s="73"/>
      <c r="M1513" s="11" t="s">
        <v>31</v>
      </c>
    </row>
    <row r="1514" spans="2:13" x14ac:dyDescent="0.25">
      <c r="B1514" s="11" t="s">
        <v>3957</v>
      </c>
      <c r="C1514" s="105">
        <v>45776</v>
      </c>
      <c r="D1514" s="12" t="s">
        <v>3958</v>
      </c>
      <c r="E1514" s="67"/>
      <c r="F1514" s="12" t="s">
        <v>3959</v>
      </c>
      <c r="G1514" s="98"/>
      <c r="H1514" s="67"/>
      <c r="I1514" s="71"/>
      <c r="J1514" s="72">
        <v>22315.200000000001</v>
      </c>
      <c r="K1514" s="88" t="s">
        <v>17</v>
      </c>
      <c r="L1514" s="73"/>
      <c r="M1514" s="11" t="s">
        <v>18</v>
      </c>
    </row>
    <row r="1515" spans="2:13" x14ac:dyDescent="0.25">
      <c r="B1515" s="11" t="s">
        <v>3960</v>
      </c>
      <c r="C1515" s="105">
        <v>45776</v>
      </c>
      <c r="D1515" s="12" t="s">
        <v>1459</v>
      </c>
      <c r="E1515" s="67"/>
      <c r="F1515" s="12" t="s">
        <v>3961</v>
      </c>
      <c r="G1515" s="98"/>
      <c r="H1515" s="67"/>
      <c r="I1515" s="71"/>
      <c r="J1515" s="72">
        <v>3875</v>
      </c>
      <c r="K1515" s="88" t="s">
        <v>17</v>
      </c>
      <c r="L1515" s="73"/>
      <c r="M1515" s="11" t="s">
        <v>18</v>
      </c>
    </row>
    <row r="1516" spans="2:13" x14ac:dyDescent="0.25">
      <c r="B1516" s="11" t="s">
        <v>3962</v>
      </c>
      <c r="C1516" s="105">
        <v>45776</v>
      </c>
      <c r="D1516" s="12" t="s">
        <v>639</v>
      </c>
      <c r="E1516" s="67"/>
      <c r="F1516" s="12" t="s">
        <v>1348</v>
      </c>
      <c r="G1516" s="98"/>
      <c r="H1516" s="67"/>
      <c r="I1516" s="71"/>
      <c r="J1516" s="72">
        <v>5490</v>
      </c>
      <c r="K1516" s="88" t="s">
        <v>17</v>
      </c>
      <c r="L1516" s="73"/>
      <c r="M1516" s="11" t="s">
        <v>18</v>
      </c>
    </row>
    <row r="1517" spans="2:13" x14ac:dyDescent="0.25">
      <c r="B1517" s="11" t="s">
        <v>3963</v>
      </c>
      <c r="C1517" s="105">
        <v>45776</v>
      </c>
      <c r="D1517" s="12" t="s">
        <v>3964</v>
      </c>
      <c r="E1517" s="67"/>
      <c r="F1517" s="12" t="s">
        <v>90</v>
      </c>
      <c r="G1517" s="98"/>
      <c r="H1517" s="67"/>
      <c r="I1517" s="71"/>
      <c r="J1517" s="72">
        <v>2675</v>
      </c>
      <c r="K1517" s="88" t="s">
        <v>17</v>
      </c>
      <c r="L1517" s="73"/>
      <c r="M1517" s="11" t="s">
        <v>31</v>
      </c>
    </row>
    <row r="1518" spans="2:13" x14ac:dyDescent="0.25">
      <c r="B1518" s="11" t="s">
        <v>3965</v>
      </c>
      <c r="C1518" s="105">
        <v>45776</v>
      </c>
      <c r="D1518" s="12" t="s">
        <v>639</v>
      </c>
      <c r="E1518" s="67"/>
      <c r="F1518" s="12" t="s">
        <v>3966</v>
      </c>
      <c r="G1518" s="98"/>
      <c r="H1518" s="67"/>
      <c r="I1518" s="71"/>
      <c r="J1518" s="72">
        <v>575</v>
      </c>
      <c r="K1518" s="88" t="s">
        <v>17</v>
      </c>
      <c r="L1518" s="73"/>
      <c r="M1518" s="11" t="s">
        <v>18</v>
      </c>
    </row>
    <row r="1519" spans="2:13" x14ac:dyDescent="0.25">
      <c r="B1519" s="11" t="s">
        <v>3967</v>
      </c>
      <c r="C1519" s="105">
        <v>45776</v>
      </c>
      <c r="D1519" s="12" t="s">
        <v>2731</v>
      </c>
      <c r="E1519" s="67"/>
      <c r="F1519" s="12" t="s">
        <v>3968</v>
      </c>
      <c r="G1519" s="98"/>
      <c r="H1519" s="67"/>
      <c r="I1519" s="71"/>
      <c r="J1519" s="72">
        <v>980</v>
      </c>
      <c r="K1519" s="88" t="s">
        <v>17</v>
      </c>
      <c r="L1519" s="73"/>
      <c r="M1519" s="11" t="s">
        <v>18</v>
      </c>
    </row>
    <row r="1520" spans="2:13" x14ac:dyDescent="0.25">
      <c r="B1520" s="11" t="s">
        <v>3969</v>
      </c>
      <c r="C1520" s="105">
        <v>45776</v>
      </c>
      <c r="D1520" s="12" t="s">
        <v>3970</v>
      </c>
      <c r="E1520" s="67"/>
      <c r="F1520" s="12" t="s">
        <v>3971</v>
      </c>
      <c r="G1520" s="98"/>
      <c r="H1520" s="67"/>
      <c r="I1520" s="71"/>
      <c r="J1520" s="72">
        <v>8555</v>
      </c>
      <c r="K1520" s="88" t="s">
        <v>17</v>
      </c>
      <c r="L1520" s="73"/>
      <c r="M1520" s="11" t="s">
        <v>31</v>
      </c>
    </row>
    <row r="1521" spans="2:13" x14ac:dyDescent="0.25">
      <c r="B1521" s="11" t="s">
        <v>3972</v>
      </c>
      <c r="C1521" s="105">
        <v>45777</v>
      </c>
      <c r="D1521" s="12" t="s">
        <v>3802</v>
      </c>
      <c r="E1521" s="67"/>
      <c r="F1521" s="12" t="s">
        <v>1212</v>
      </c>
      <c r="G1521" s="98"/>
      <c r="H1521" s="67"/>
      <c r="I1521" s="71"/>
      <c r="J1521" s="72">
        <v>750</v>
      </c>
      <c r="K1521" s="88" t="s">
        <v>17</v>
      </c>
      <c r="L1521" s="73"/>
      <c r="M1521" s="11" t="s">
        <v>18</v>
      </c>
    </row>
    <row r="1522" spans="2:13" x14ac:dyDescent="0.25">
      <c r="B1522" s="11" t="s">
        <v>3973</v>
      </c>
      <c r="C1522" s="105">
        <v>45777</v>
      </c>
      <c r="D1522" s="12" t="s">
        <v>27</v>
      </c>
      <c r="E1522" s="67"/>
      <c r="F1522" s="12" t="s">
        <v>3974</v>
      </c>
      <c r="G1522" s="98"/>
      <c r="H1522" s="67"/>
      <c r="I1522" s="71"/>
      <c r="J1522" s="72">
        <v>390</v>
      </c>
      <c r="K1522" s="88" t="s">
        <v>17</v>
      </c>
      <c r="L1522" s="73"/>
      <c r="M1522" s="11" t="s">
        <v>31</v>
      </c>
    </row>
    <row r="1523" spans="2:13" x14ac:dyDescent="0.25">
      <c r="B1523" s="11" t="s">
        <v>3975</v>
      </c>
      <c r="C1523" s="105">
        <v>45777</v>
      </c>
      <c r="D1523" t="s">
        <v>3772</v>
      </c>
      <c r="E1523" s="67"/>
      <c r="F1523" s="12" t="s">
        <v>1867</v>
      </c>
      <c r="G1523" s="98"/>
      <c r="H1523" s="67"/>
      <c r="I1523" s="71"/>
      <c r="J1523" s="72">
        <v>325</v>
      </c>
      <c r="K1523" s="88" t="s">
        <v>1874</v>
      </c>
      <c r="L1523" s="73"/>
      <c r="M1523" s="11" t="s">
        <v>18</v>
      </c>
    </row>
    <row r="1524" spans="2:13" x14ac:dyDescent="0.25">
      <c r="B1524" s="11" t="s">
        <v>3976</v>
      </c>
      <c r="C1524" s="105">
        <v>45777</v>
      </c>
      <c r="D1524" s="12" t="s">
        <v>3977</v>
      </c>
      <c r="E1524" s="67"/>
      <c r="F1524" s="12" t="s">
        <v>922</v>
      </c>
      <c r="G1524" s="98"/>
      <c r="H1524" s="67"/>
      <c r="I1524" s="71"/>
      <c r="J1524" s="72">
        <v>225</v>
      </c>
      <c r="K1524" s="88" t="s">
        <v>17</v>
      </c>
      <c r="L1524" s="73"/>
      <c r="M1524" s="11" t="s">
        <v>31</v>
      </c>
    </row>
    <row r="1525" spans="2:13" x14ac:dyDescent="0.25">
      <c r="B1525" s="11" t="s">
        <v>3978</v>
      </c>
      <c r="C1525" s="105">
        <v>45777</v>
      </c>
      <c r="D1525" s="12" t="s">
        <v>3970</v>
      </c>
      <c r="E1525" s="67"/>
      <c r="F1525" s="12" t="s">
        <v>3971</v>
      </c>
      <c r="G1525" s="98"/>
      <c r="H1525" s="67"/>
      <c r="I1525" s="71"/>
      <c r="J1525" s="72">
        <v>402.75</v>
      </c>
      <c r="K1525" s="88" t="s">
        <v>17</v>
      </c>
      <c r="L1525" s="73"/>
      <c r="M1525" s="11" t="s">
        <v>31</v>
      </c>
    </row>
    <row r="1526" spans="2:13" x14ac:dyDescent="0.25">
      <c r="B1526" s="11" t="s">
        <v>3979</v>
      </c>
      <c r="C1526" s="105">
        <v>45778</v>
      </c>
      <c r="D1526" s="12" t="s">
        <v>3206</v>
      </c>
      <c r="E1526" s="67"/>
      <c r="F1526" s="12" t="s">
        <v>922</v>
      </c>
      <c r="G1526" s="98"/>
      <c r="H1526" s="67"/>
      <c r="I1526" s="71"/>
      <c r="J1526" s="72">
        <v>335</v>
      </c>
      <c r="K1526" s="88" t="s">
        <v>17</v>
      </c>
      <c r="L1526" s="73"/>
      <c r="M1526" s="11" t="s">
        <v>18</v>
      </c>
    </row>
    <row r="1527" spans="2:13" x14ac:dyDescent="0.25">
      <c r="B1527" s="11" t="s">
        <v>3980</v>
      </c>
      <c r="C1527" s="105">
        <v>45778</v>
      </c>
      <c r="D1527" s="12" t="s">
        <v>463</v>
      </c>
      <c r="E1527" s="67"/>
      <c r="F1527" s="12" t="s">
        <v>3981</v>
      </c>
      <c r="G1527" s="98"/>
      <c r="H1527" s="67"/>
      <c r="I1527" s="71"/>
      <c r="J1527" s="72">
        <v>2012</v>
      </c>
      <c r="K1527" s="88" t="s">
        <v>17</v>
      </c>
      <c r="L1527" s="73"/>
      <c r="M1527" s="11" t="s">
        <v>18</v>
      </c>
    </row>
    <row r="1528" spans="2:13" x14ac:dyDescent="0.25">
      <c r="B1528" s="11" t="s">
        <v>3982</v>
      </c>
      <c r="C1528" s="105">
        <v>45778</v>
      </c>
      <c r="D1528" s="12" t="s">
        <v>3469</v>
      </c>
      <c r="E1528" s="67"/>
      <c r="F1528" s="12" t="s">
        <v>3983</v>
      </c>
      <c r="G1528" s="98"/>
      <c r="H1528" s="67"/>
      <c r="I1528" s="71"/>
      <c r="J1528" s="72">
        <v>485</v>
      </c>
      <c r="K1528" s="88" t="s">
        <v>17</v>
      </c>
      <c r="L1528" s="73"/>
      <c r="M1528" s="11" t="s">
        <v>31</v>
      </c>
    </row>
    <row r="1529" spans="2:13" x14ac:dyDescent="0.25">
      <c r="B1529" s="11" t="s">
        <v>3984</v>
      </c>
      <c r="C1529" s="105">
        <v>45778</v>
      </c>
      <c r="D1529" s="12" t="s">
        <v>142</v>
      </c>
      <c r="E1529" s="67"/>
      <c r="F1529" s="12" t="s">
        <v>922</v>
      </c>
      <c r="G1529" s="98"/>
      <c r="H1529" s="67"/>
      <c r="I1529" s="71"/>
      <c r="J1529" s="72">
        <v>385</v>
      </c>
      <c r="K1529" s="88" t="s">
        <v>17</v>
      </c>
      <c r="L1529" s="73"/>
      <c r="M1529" s="11" t="s">
        <v>31</v>
      </c>
    </row>
    <row r="1530" spans="2:13" x14ac:dyDescent="0.25">
      <c r="B1530" s="11" t="s">
        <v>3985</v>
      </c>
      <c r="C1530" s="105">
        <v>45778</v>
      </c>
      <c r="D1530" s="12" t="s">
        <v>3734</v>
      </c>
      <c r="E1530" s="67"/>
      <c r="F1530" s="12" t="s">
        <v>3986</v>
      </c>
      <c r="G1530" s="98"/>
      <c r="H1530" s="67"/>
      <c r="I1530" s="71"/>
      <c r="J1530" s="72">
        <v>2442.5</v>
      </c>
      <c r="K1530" s="88" t="s">
        <v>17</v>
      </c>
      <c r="L1530" s="73"/>
      <c r="M1530" s="11" t="s">
        <v>31</v>
      </c>
    </row>
    <row r="1531" spans="2:13" x14ac:dyDescent="0.25">
      <c r="B1531" s="11" t="s">
        <v>3987</v>
      </c>
      <c r="C1531" s="105">
        <v>45786</v>
      </c>
      <c r="D1531" s="12" t="s">
        <v>27</v>
      </c>
      <c r="E1531" s="67"/>
      <c r="F1531" s="12" t="s">
        <v>3988</v>
      </c>
      <c r="G1531" s="98"/>
      <c r="H1531" s="67"/>
      <c r="I1531" s="71"/>
      <c r="J1531" s="72">
        <v>975</v>
      </c>
      <c r="K1531" s="88" t="s">
        <v>17</v>
      </c>
      <c r="L1531" s="73"/>
      <c r="M1531" s="11" t="s">
        <v>31</v>
      </c>
    </row>
    <row r="1532" spans="2:13" x14ac:dyDescent="0.25">
      <c r="B1532" s="11" t="s">
        <v>3989</v>
      </c>
      <c r="C1532" s="105">
        <v>45779</v>
      </c>
      <c r="D1532" s="12" t="s">
        <v>3206</v>
      </c>
      <c r="E1532" s="67"/>
      <c r="F1532" s="12" t="s">
        <v>3990</v>
      </c>
      <c r="G1532" s="98"/>
      <c r="H1532" s="67"/>
      <c r="I1532" s="71"/>
      <c r="J1532" s="72">
        <v>510</v>
      </c>
      <c r="K1532" s="88" t="s">
        <v>17</v>
      </c>
      <c r="L1532" s="73"/>
      <c r="M1532" s="11" t="s">
        <v>18</v>
      </c>
    </row>
    <row r="1533" spans="2:13" x14ac:dyDescent="0.25">
      <c r="B1533" s="11" t="s">
        <v>3991</v>
      </c>
      <c r="C1533" s="105">
        <v>45779</v>
      </c>
      <c r="D1533" s="12" t="s">
        <v>3992</v>
      </c>
      <c r="E1533" s="67"/>
      <c r="F1533" s="12" t="s">
        <v>3993</v>
      </c>
      <c r="G1533" s="98"/>
      <c r="H1533" s="67"/>
      <c r="I1533" s="71"/>
      <c r="J1533" s="72">
        <v>2730</v>
      </c>
      <c r="K1533" s="88" t="s">
        <v>17</v>
      </c>
      <c r="L1533" s="73"/>
      <c r="M1533" s="11" t="s">
        <v>31</v>
      </c>
    </row>
    <row r="1534" spans="2:13" x14ac:dyDescent="0.25">
      <c r="B1534" s="11" t="s">
        <v>3994</v>
      </c>
      <c r="C1534" s="105">
        <v>45779</v>
      </c>
      <c r="D1534" s="12" t="s">
        <v>3992</v>
      </c>
      <c r="E1534" s="67"/>
      <c r="F1534" s="12" t="s">
        <v>780</v>
      </c>
      <c r="G1534" s="98"/>
      <c r="H1534" s="67"/>
      <c r="I1534" s="71"/>
      <c r="J1534" s="72">
        <v>2530</v>
      </c>
      <c r="K1534" s="88" t="s">
        <v>17</v>
      </c>
      <c r="L1534" s="73"/>
      <c r="M1534" s="11" t="s">
        <v>18</v>
      </c>
    </row>
    <row r="1535" spans="2:13" x14ac:dyDescent="0.25">
      <c r="B1535" s="11" t="s">
        <v>3995</v>
      </c>
      <c r="C1535" s="105">
        <v>45780</v>
      </c>
      <c r="D1535" s="12" t="s">
        <v>27</v>
      </c>
      <c r="E1535" s="67"/>
      <c r="F1535" s="12" t="s">
        <v>3996</v>
      </c>
      <c r="G1535" s="98"/>
      <c r="H1535" s="67"/>
      <c r="I1535" s="71"/>
      <c r="J1535" s="72">
        <v>675.75</v>
      </c>
      <c r="K1535" s="88" t="s">
        <v>17</v>
      </c>
      <c r="L1535" s="73"/>
      <c r="M1535" s="11" t="s">
        <v>31</v>
      </c>
    </row>
    <row r="1536" spans="2:13" x14ac:dyDescent="0.25">
      <c r="B1536" s="11" t="s">
        <v>3997</v>
      </c>
      <c r="C1536" s="105">
        <v>45779</v>
      </c>
      <c r="D1536" s="12" t="s">
        <v>3413</v>
      </c>
      <c r="E1536" s="67"/>
      <c r="F1536" s="12" t="s">
        <v>3998</v>
      </c>
      <c r="G1536" s="98"/>
      <c r="H1536" s="67"/>
      <c r="I1536" s="71"/>
      <c r="J1536" s="72">
        <v>4352.5</v>
      </c>
      <c r="K1536" s="88" t="s">
        <v>17</v>
      </c>
      <c r="L1536" s="73"/>
      <c r="M1536" s="11" t="s">
        <v>31</v>
      </c>
    </row>
    <row r="1537" spans="2:13" x14ac:dyDescent="0.25">
      <c r="B1537" s="11" t="s">
        <v>3999</v>
      </c>
      <c r="C1537" s="105">
        <v>45780</v>
      </c>
      <c r="D1537" s="12" t="s">
        <v>3992</v>
      </c>
      <c r="E1537" s="67"/>
      <c r="F1537" s="12" t="s">
        <v>4000</v>
      </c>
      <c r="G1537" s="98"/>
      <c r="H1537" s="67"/>
      <c r="I1537" s="71"/>
      <c r="J1537" s="72">
        <v>395</v>
      </c>
      <c r="K1537" s="88" t="s">
        <v>17</v>
      </c>
      <c r="L1537" s="73"/>
      <c r="M1537" s="11" t="s">
        <v>18</v>
      </c>
    </row>
    <row r="1538" spans="2:13" x14ac:dyDescent="0.25">
      <c r="B1538" s="11" t="s">
        <v>4001</v>
      </c>
      <c r="C1538" s="105">
        <v>45780</v>
      </c>
      <c r="D1538" s="12" t="s">
        <v>4002</v>
      </c>
      <c r="E1538" s="67"/>
      <c r="F1538" s="12" t="s">
        <v>3318</v>
      </c>
      <c r="G1538" s="98"/>
      <c r="H1538" s="67"/>
      <c r="I1538" s="71"/>
      <c r="J1538" s="72">
        <v>1350</v>
      </c>
      <c r="K1538" s="88" t="s">
        <v>17</v>
      </c>
      <c r="L1538" s="73"/>
      <c r="M1538" s="11" t="s">
        <v>18</v>
      </c>
    </row>
    <row r="1539" spans="2:13" x14ac:dyDescent="0.25">
      <c r="B1539" s="11" t="s">
        <v>4003</v>
      </c>
      <c r="C1539" s="105">
        <v>45783</v>
      </c>
      <c r="D1539" s="12" t="s">
        <v>4004</v>
      </c>
      <c r="E1539" s="67"/>
      <c r="F1539" s="12" t="s">
        <v>4005</v>
      </c>
      <c r="G1539" s="98"/>
      <c r="H1539" s="67"/>
      <c r="I1539" s="71"/>
      <c r="J1539" s="72">
        <v>1350</v>
      </c>
      <c r="K1539" s="88" t="s">
        <v>1874</v>
      </c>
      <c r="L1539" s="73"/>
      <c r="M1539" s="11" t="s">
        <v>18</v>
      </c>
    </row>
    <row r="1540" spans="2:13" x14ac:dyDescent="0.25">
      <c r="B1540" s="11" t="s">
        <v>4006</v>
      </c>
      <c r="C1540" s="105">
        <v>45784</v>
      </c>
      <c r="D1540" s="12" t="s">
        <v>27</v>
      </c>
      <c r="E1540" s="67"/>
      <c r="F1540" s="12" t="s">
        <v>4007</v>
      </c>
      <c r="G1540" s="98"/>
      <c r="H1540" s="67"/>
      <c r="I1540" s="71"/>
      <c r="J1540" s="72">
        <v>750</v>
      </c>
      <c r="K1540" s="88" t="s">
        <v>17</v>
      </c>
      <c r="L1540" s="73"/>
      <c r="M1540" s="11" t="s">
        <v>18</v>
      </c>
    </row>
    <row r="1541" spans="2:13" x14ac:dyDescent="0.25">
      <c r="B1541" s="11" t="s">
        <v>4008</v>
      </c>
      <c r="C1541" s="105">
        <v>45783</v>
      </c>
      <c r="D1541" s="12" t="s">
        <v>4009</v>
      </c>
      <c r="E1541" s="67"/>
      <c r="F1541" s="12" t="s">
        <v>4010</v>
      </c>
      <c r="G1541" s="98"/>
      <c r="H1541" s="67"/>
      <c r="I1541" s="71"/>
      <c r="J1541" s="72">
        <v>1825</v>
      </c>
      <c r="K1541" s="88" t="s">
        <v>17</v>
      </c>
      <c r="L1541" s="73"/>
      <c r="M1541" s="11" t="s">
        <v>31</v>
      </c>
    </row>
    <row r="1542" spans="2:13" x14ac:dyDescent="0.25">
      <c r="B1542" s="11" t="s">
        <v>4011</v>
      </c>
      <c r="C1542" s="105">
        <v>45783</v>
      </c>
      <c r="D1542" s="12" t="s">
        <v>3799</v>
      </c>
      <c r="E1542" s="67"/>
      <c r="F1542" s="12" t="s">
        <v>3835</v>
      </c>
      <c r="G1542" s="98"/>
      <c r="H1542" s="67"/>
      <c r="I1542" s="71"/>
      <c r="J1542" s="72">
        <v>517</v>
      </c>
      <c r="K1542" s="88" t="s">
        <v>17</v>
      </c>
      <c r="L1542" s="73"/>
      <c r="M1542" s="11" t="s">
        <v>31</v>
      </c>
    </row>
    <row r="1543" spans="2:13" x14ac:dyDescent="0.25">
      <c r="B1543" s="11" t="s">
        <v>4012</v>
      </c>
      <c r="C1543" s="105">
        <v>45783</v>
      </c>
      <c r="D1543" s="12" t="s">
        <v>2731</v>
      </c>
      <c r="E1543" s="67"/>
      <c r="F1543" s="12" t="s">
        <v>4013</v>
      </c>
      <c r="G1543" s="98"/>
      <c r="H1543" s="67"/>
      <c r="I1543" s="71"/>
      <c r="J1543" s="72">
        <v>4895</v>
      </c>
      <c r="K1543" s="88" t="s">
        <v>17</v>
      </c>
      <c r="L1543" s="73"/>
      <c r="M1543" s="11" t="s">
        <v>18</v>
      </c>
    </row>
    <row r="1544" spans="2:13" x14ac:dyDescent="0.25">
      <c r="B1544" s="11" t="s">
        <v>4014</v>
      </c>
      <c r="C1544" s="105">
        <v>45784</v>
      </c>
      <c r="D1544" s="12" t="s">
        <v>4015</v>
      </c>
      <c r="E1544" s="67"/>
      <c r="F1544" s="12" t="s">
        <v>4016</v>
      </c>
      <c r="G1544" s="98"/>
      <c r="H1544" s="67"/>
      <c r="I1544" s="71"/>
      <c r="J1544" s="72">
        <v>3465</v>
      </c>
      <c r="K1544" s="88" t="s">
        <v>1874</v>
      </c>
      <c r="L1544" s="73"/>
      <c r="M1544" s="11" t="s">
        <v>31</v>
      </c>
    </row>
    <row r="1545" spans="2:13" x14ac:dyDescent="0.25">
      <c r="B1545" s="11" t="s">
        <v>4017</v>
      </c>
      <c r="C1545" s="105">
        <v>45784</v>
      </c>
      <c r="D1545" s="102" t="s">
        <v>3808</v>
      </c>
      <c r="E1545" s="67"/>
      <c r="F1545" s="102" t="s">
        <v>596</v>
      </c>
      <c r="G1545" s="98"/>
      <c r="H1545" s="67"/>
      <c r="I1545" s="71"/>
      <c r="J1545" s="72">
        <v>865</v>
      </c>
      <c r="K1545" s="88" t="s">
        <v>1874</v>
      </c>
      <c r="L1545" s="73"/>
      <c r="M1545" s="11" t="s">
        <v>18</v>
      </c>
    </row>
    <row r="1546" spans="2:13" x14ac:dyDescent="0.25">
      <c r="B1546" s="11" t="s">
        <v>4018</v>
      </c>
      <c r="C1546" s="105">
        <v>45785</v>
      </c>
      <c r="D1546" s="12" t="s">
        <v>642</v>
      </c>
      <c r="E1546" s="67"/>
      <c r="F1546" s="12" t="s">
        <v>4019</v>
      </c>
      <c r="G1546" s="98"/>
      <c r="H1546" s="67"/>
      <c r="I1546" s="71"/>
      <c r="J1546" s="72">
        <v>715</v>
      </c>
      <c r="K1546" s="88" t="s">
        <v>17</v>
      </c>
      <c r="L1546" s="73"/>
      <c r="M1546" s="11" t="s">
        <v>31</v>
      </c>
    </row>
    <row r="1547" spans="2:13" x14ac:dyDescent="0.25">
      <c r="B1547" s="11" t="s">
        <v>4020</v>
      </c>
      <c r="C1547" s="105">
        <v>45786</v>
      </c>
      <c r="D1547" s="12" t="s">
        <v>3413</v>
      </c>
      <c r="E1547" s="67"/>
      <c r="F1547" s="12" t="s">
        <v>222</v>
      </c>
      <c r="G1547" s="98"/>
      <c r="H1547" s="67"/>
      <c r="I1547" s="71"/>
      <c r="J1547" s="72">
        <v>900</v>
      </c>
      <c r="K1547" s="88" t="s">
        <v>17</v>
      </c>
      <c r="L1547" s="73"/>
      <c r="M1547" s="11" t="s">
        <v>31</v>
      </c>
    </row>
    <row r="1548" spans="2:13" x14ac:dyDescent="0.25">
      <c r="B1548" s="11" t="s">
        <v>4021</v>
      </c>
      <c r="C1548" s="105">
        <v>45786</v>
      </c>
      <c r="D1548" s="12" t="s">
        <v>429</v>
      </c>
      <c r="E1548" s="67"/>
      <c r="F1548" s="12" t="s">
        <v>4022</v>
      </c>
      <c r="G1548" s="98"/>
      <c r="H1548" s="67"/>
      <c r="I1548" s="71"/>
      <c r="J1548" s="72">
        <v>2300</v>
      </c>
      <c r="K1548" s="88" t="s">
        <v>17</v>
      </c>
      <c r="L1548" s="73"/>
      <c r="M1548" s="11" t="s">
        <v>18</v>
      </c>
    </row>
    <row r="1549" spans="2:13" x14ac:dyDescent="0.25">
      <c r="B1549" s="11" t="s">
        <v>4023</v>
      </c>
      <c r="C1549" s="105">
        <v>45791</v>
      </c>
      <c r="D1549" s="12" t="s">
        <v>3433</v>
      </c>
      <c r="E1549" s="67"/>
      <c r="F1549" s="12" t="s">
        <v>4024</v>
      </c>
      <c r="G1549" s="98"/>
      <c r="H1549" s="67"/>
      <c r="I1549" s="71"/>
      <c r="J1549" s="72">
        <v>1365</v>
      </c>
      <c r="K1549" s="88" t="s">
        <v>17</v>
      </c>
      <c r="L1549" s="73"/>
      <c r="M1549" s="11" t="s">
        <v>3341</v>
      </c>
    </row>
    <row r="1550" spans="2:13" x14ac:dyDescent="0.25">
      <c r="B1550" s="11" t="s">
        <v>4025</v>
      </c>
      <c r="C1550" s="105">
        <v>45787</v>
      </c>
      <c r="D1550" s="12" t="s">
        <v>3008</v>
      </c>
      <c r="E1550" s="67"/>
      <c r="F1550" s="12" t="s">
        <v>4026</v>
      </c>
      <c r="G1550" s="98"/>
      <c r="H1550" s="67"/>
      <c r="I1550" s="71"/>
      <c r="J1550" s="72">
        <v>475</v>
      </c>
      <c r="K1550" s="88" t="s">
        <v>17</v>
      </c>
      <c r="L1550" s="73"/>
      <c r="M1550" s="11" t="s">
        <v>31</v>
      </c>
    </row>
    <row r="1551" spans="2:13" x14ac:dyDescent="0.25">
      <c r="B1551" s="11" t="s">
        <v>4027</v>
      </c>
      <c r="C1551" s="105">
        <v>45789</v>
      </c>
      <c r="D1551" s="12" t="s">
        <v>27</v>
      </c>
      <c r="E1551" s="67"/>
      <c r="F1551" s="12" t="s">
        <v>4028</v>
      </c>
      <c r="G1551" s="98"/>
      <c r="H1551" s="67"/>
      <c r="I1551" s="71"/>
      <c r="J1551" s="72">
        <v>356.25</v>
      </c>
      <c r="K1551" s="88" t="s">
        <v>17</v>
      </c>
      <c r="L1551" s="73"/>
      <c r="M1551" s="11" t="s">
        <v>31</v>
      </c>
    </row>
    <row r="1552" spans="2:13" x14ac:dyDescent="0.25">
      <c r="B1552" s="11" t="s">
        <v>4029</v>
      </c>
      <c r="C1552" s="105">
        <v>45789</v>
      </c>
      <c r="D1552" s="12" t="s">
        <v>4030</v>
      </c>
      <c r="E1552" s="67"/>
      <c r="F1552" s="12" t="s">
        <v>4031</v>
      </c>
      <c r="G1552" s="98"/>
      <c r="H1552" s="67"/>
      <c r="I1552" s="71"/>
      <c r="J1552" s="72">
        <v>48</v>
      </c>
      <c r="K1552" s="88" t="s">
        <v>1874</v>
      </c>
      <c r="L1552" s="73"/>
      <c r="M1552" s="11" t="s">
        <v>31</v>
      </c>
    </row>
    <row r="1553" spans="2:13" x14ac:dyDescent="0.25">
      <c r="B1553" s="11" t="s">
        <v>4032</v>
      </c>
      <c r="C1553" s="105">
        <v>45796</v>
      </c>
      <c r="D1553" t="s">
        <v>1060</v>
      </c>
      <c r="E1553" s="67"/>
      <c r="F1553" s="12" t="s">
        <v>4033</v>
      </c>
      <c r="G1553" s="98"/>
      <c r="H1553" s="67"/>
      <c r="I1553" s="71"/>
      <c r="J1553" s="72">
        <v>1470</v>
      </c>
      <c r="K1553" s="88" t="s">
        <v>17</v>
      </c>
      <c r="L1553" s="73"/>
      <c r="M1553" s="11" t="s">
        <v>31</v>
      </c>
    </row>
    <row r="1554" spans="2:13" x14ac:dyDescent="0.25">
      <c r="B1554" s="11" t="s">
        <v>4034</v>
      </c>
      <c r="C1554" s="105">
        <v>45800</v>
      </c>
      <c r="D1554" s="12" t="s">
        <v>463</v>
      </c>
      <c r="E1554" s="67"/>
      <c r="F1554" s="12" t="s">
        <v>4035</v>
      </c>
      <c r="G1554" s="98"/>
      <c r="H1554" s="67"/>
      <c r="I1554" s="71"/>
      <c r="J1554" s="72">
        <v>3675</v>
      </c>
      <c r="K1554" s="88" t="s">
        <v>17</v>
      </c>
      <c r="L1554" s="73"/>
      <c r="M1554" s="11" t="s">
        <v>31</v>
      </c>
    </row>
    <row r="1555" spans="2:13" x14ac:dyDescent="0.25">
      <c r="B1555" s="11" t="s">
        <v>4036</v>
      </c>
      <c r="C1555" s="105">
        <v>45790</v>
      </c>
      <c r="D1555" s="12" t="s">
        <v>463</v>
      </c>
      <c r="E1555" s="67"/>
      <c r="F1555" s="12" t="s">
        <v>4035</v>
      </c>
      <c r="G1555" s="98"/>
      <c r="H1555" s="67"/>
      <c r="I1555" s="71"/>
      <c r="J1555" s="72">
        <v>1617.5</v>
      </c>
      <c r="K1555" s="88" t="s">
        <v>17</v>
      </c>
      <c r="L1555" s="73"/>
      <c r="M1555" s="11" t="s">
        <v>18</v>
      </c>
    </row>
    <row r="1556" spans="2:13" x14ac:dyDescent="0.25">
      <c r="B1556" s="11" t="s">
        <v>4037</v>
      </c>
      <c r="C1556" s="105">
        <v>45790</v>
      </c>
      <c r="D1556" s="12" t="s">
        <v>27</v>
      </c>
      <c r="E1556" s="67"/>
      <c r="F1556" s="12" t="s">
        <v>4038</v>
      </c>
      <c r="G1556" s="98"/>
      <c r="H1556" s="67"/>
      <c r="I1556" s="71"/>
      <c r="J1556" s="72">
        <v>325</v>
      </c>
      <c r="K1556" s="88" t="s">
        <v>17</v>
      </c>
      <c r="L1556" s="73"/>
      <c r="M1556" s="11" t="s">
        <v>31</v>
      </c>
    </row>
    <row r="1557" spans="2:13" x14ac:dyDescent="0.25">
      <c r="B1557" s="11" t="s">
        <v>4039</v>
      </c>
      <c r="C1557" s="105">
        <v>45790</v>
      </c>
      <c r="D1557" s="12" t="s">
        <v>3799</v>
      </c>
      <c r="E1557" s="67"/>
      <c r="F1557" s="12" t="s">
        <v>4040</v>
      </c>
      <c r="G1557" s="98"/>
      <c r="H1557" s="67"/>
      <c r="I1557" s="71"/>
      <c r="J1557" s="72">
        <v>430</v>
      </c>
      <c r="K1557" s="88" t="s">
        <v>17</v>
      </c>
      <c r="L1557" s="73"/>
      <c r="M1557" s="11" t="s">
        <v>18</v>
      </c>
    </row>
    <row r="1558" spans="2:13" x14ac:dyDescent="0.25">
      <c r="B1558" s="11" t="s">
        <v>4041</v>
      </c>
      <c r="C1558" s="105">
        <v>45791</v>
      </c>
      <c r="D1558" s="12" t="s">
        <v>3992</v>
      </c>
      <c r="E1558" s="67"/>
      <c r="F1558" s="12" t="s">
        <v>4042</v>
      </c>
      <c r="G1558" s="98"/>
      <c r="H1558" s="67"/>
      <c r="I1558" s="71"/>
      <c r="J1558" s="72">
        <v>517.5</v>
      </c>
      <c r="K1558" s="88" t="s">
        <v>17</v>
      </c>
      <c r="L1558" s="73"/>
      <c r="M1558" s="11" t="s">
        <v>18</v>
      </c>
    </row>
    <row r="1559" spans="2:13" x14ac:dyDescent="0.25">
      <c r="B1559" s="11" t="s">
        <v>4043</v>
      </c>
      <c r="C1559" s="105">
        <v>45792</v>
      </c>
      <c r="D1559" s="12" t="s">
        <v>4044</v>
      </c>
      <c r="E1559" s="67"/>
      <c r="F1559" s="12" t="s">
        <v>4045</v>
      </c>
      <c r="G1559" s="98"/>
      <c r="H1559" s="67"/>
      <c r="I1559" s="71"/>
      <c r="J1559" s="72">
        <v>4680</v>
      </c>
      <c r="K1559" s="88" t="s">
        <v>1874</v>
      </c>
      <c r="L1559" s="73"/>
      <c r="M1559" s="11" t="s">
        <v>18</v>
      </c>
    </row>
    <row r="1560" spans="2:13" x14ac:dyDescent="0.25">
      <c r="B1560" s="11" t="s">
        <v>4046</v>
      </c>
      <c r="C1560" s="105">
        <v>45794</v>
      </c>
      <c r="D1560" s="12" t="s">
        <v>27</v>
      </c>
      <c r="E1560" s="67"/>
      <c r="F1560" s="12" t="s">
        <v>4047</v>
      </c>
      <c r="G1560" s="98"/>
      <c r="H1560" s="67"/>
      <c r="I1560" s="71"/>
      <c r="J1560" s="72">
        <v>990</v>
      </c>
      <c r="K1560" s="88" t="s">
        <v>17</v>
      </c>
      <c r="L1560" s="73"/>
      <c r="M1560" s="11" t="s">
        <v>18</v>
      </c>
    </row>
    <row r="1561" spans="2:13" x14ac:dyDescent="0.25">
      <c r="B1561" s="11" t="s">
        <v>4048</v>
      </c>
      <c r="C1561" s="105">
        <v>45793</v>
      </c>
      <c r="D1561" s="12" t="s">
        <v>27</v>
      </c>
      <c r="E1561" s="67"/>
      <c r="F1561" s="12" t="s">
        <v>1078</v>
      </c>
      <c r="G1561" s="98"/>
      <c r="H1561" s="67"/>
      <c r="I1561" s="71"/>
      <c r="J1561" s="72">
        <v>840</v>
      </c>
      <c r="K1561" s="88" t="s">
        <v>17</v>
      </c>
      <c r="L1561" s="73"/>
      <c r="M1561" s="11" t="s">
        <v>18</v>
      </c>
    </row>
    <row r="1562" spans="2:13" x14ac:dyDescent="0.25">
      <c r="B1562" s="11" t="s">
        <v>4049</v>
      </c>
      <c r="C1562" s="105">
        <v>45793</v>
      </c>
      <c r="D1562" s="12" t="s">
        <v>4050</v>
      </c>
      <c r="E1562" s="67"/>
      <c r="F1562" s="12" t="s">
        <v>2691</v>
      </c>
      <c r="G1562" s="98"/>
      <c r="H1562" s="67"/>
      <c r="I1562" s="71"/>
      <c r="J1562" s="72">
        <v>1755</v>
      </c>
      <c r="K1562" s="88" t="s">
        <v>17</v>
      </c>
      <c r="L1562" s="73"/>
      <c r="M1562" s="11" t="s">
        <v>18</v>
      </c>
    </row>
    <row r="1563" spans="2:13" x14ac:dyDescent="0.25">
      <c r="B1563" s="11" t="s">
        <v>4051</v>
      </c>
      <c r="C1563" s="105">
        <v>45793</v>
      </c>
      <c r="D1563" s="12" t="s">
        <v>4009</v>
      </c>
      <c r="E1563" s="67"/>
      <c r="F1563" s="12" t="s">
        <v>22</v>
      </c>
      <c r="G1563" s="98"/>
      <c r="H1563" s="67"/>
      <c r="I1563" s="71"/>
      <c r="J1563" s="72">
        <v>195</v>
      </c>
      <c r="K1563" s="88" t="s">
        <v>17</v>
      </c>
      <c r="L1563" s="73"/>
      <c r="M1563" s="11" t="s">
        <v>31</v>
      </c>
    </row>
    <row r="1564" spans="2:13" x14ac:dyDescent="0.25">
      <c r="B1564" s="11" t="s">
        <v>4052</v>
      </c>
      <c r="C1564" s="105">
        <v>45798</v>
      </c>
      <c r="D1564" s="12" t="s">
        <v>27</v>
      </c>
      <c r="E1564" s="67"/>
      <c r="F1564" s="12" t="s">
        <v>4053</v>
      </c>
      <c r="G1564" s="98"/>
      <c r="H1564" s="67"/>
      <c r="I1564" s="71"/>
      <c r="J1564" s="72">
        <v>8355.5</v>
      </c>
      <c r="K1564" s="88" t="s">
        <v>17</v>
      </c>
      <c r="L1564" s="73"/>
      <c r="M1564" s="11" t="s">
        <v>31</v>
      </c>
    </row>
    <row r="1565" spans="2:13" x14ac:dyDescent="0.25">
      <c r="B1565" s="11" t="s">
        <v>4054</v>
      </c>
      <c r="C1565" s="105">
        <v>45794</v>
      </c>
      <c r="D1565" s="12" t="s">
        <v>27</v>
      </c>
      <c r="E1565" s="67"/>
      <c r="F1565" s="12" t="s">
        <v>4055</v>
      </c>
      <c r="G1565" s="98"/>
      <c r="H1565" s="67"/>
      <c r="I1565" s="71"/>
      <c r="J1565" s="72">
        <v>535</v>
      </c>
      <c r="K1565" s="88" t="s">
        <v>17</v>
      </c>
      <c r="L1565" s="73"/>
      <c r="M1565" s="11" t="s">
        <v>31</v>
      </c>
    </row>
    <row r="1566" spans="2:13" x14ac:dyDescent="0.25">
      <c r="B1566" s="11" t="s">
        <v>4056</v>
      </c>
      <c r="C1566" s="105">
        <v>45796</v>
      </c>
      <c r="D1566" s="12" t="s">
        <v>4057</v>
      </c>
      <c r="E1566" s="67"/>
      <c r="F1566" s="12" t="s">
        <v>4058</v>
      </c>
      <c r="G1566" s="98"/>
      <c r="H1566" s="67"/>
      <c r="I1566" s="71"/>
      <c r="J1566" s="72">
        <v>5600</v>
      </c>
      <c r="K1566" s="88" t="s">
        <v>1874</v>
      </c>
      <c r="L1566" s="73"/>
      <c r="M1566" s="11" t="s">
        <v>18</v>
      </c>
    </row>
    <row r="1567" spans="2:13" x14ac:dyDescent="0.25">
      <c r="B1567" s="11" t="s">
        <v>4059</v>
      </c>
      <c r="C1567" s="105">
        <v>45796</v>
      </c>
      <c r="D1567" s="12" t="s">
        <v>4060</v>
      </c>
      <c r="E1567" s="67"/>
      <c r="F1567" s="12" t="s">
        <v>4061</v>
      </c>
      <c r="G1567" s="98"/>
      <c r="H1567" s="67"/>
      <c r="I1567" s="71"/>
      <c r="J1567" s="72">
        <v>287.5</v>
      </c>
      <c r="K1567" s="88" t="s">
        <v>1874</v>
      </c>
      <c r="L1567" s="73"/>
      <c r="M1567" s="11" t="s">
        <v>31</v>
      </c>
    </row>
    <row r="1568" spans="2:13" x14ac:dyDescent="0.25">
      <c r="B1568" s="11" t="s">
        <v>4062</v>
      </c>
      <c r="C1568" s="105">
        <v>45797</v>
      </c>
      <c r="D1568" s="12" t="s">
        <v>463</v>
      </c>
      <c r="E1568" s="67"/>
      <c r="F1568" s="12" t="s">
        <v>4035</v>
      </c>
      <c r="G1568" s="98"/>
      <c r="H1568" s="67"/>
      <c r="I1568" s="71"/>
      <c r="J1568" s="72">
        <v>365</v>
      </c>
      <c r="K1568" s="88" t="s">
        <v>17</v>
      </c>
      <c r="L1568" s="73"/>
      <c r="M1568" s="11" t="s">
        <v>18</v>
      </c>
    </row>
    <row r="1569" spans="2:13" x14ac:dyDescent="0.25">
      <c r="B1569" s="11" t="s">
        <v>4063</v>
      </c>
      <c r="C1569" s="105">
        <v>45797</v>
      </c>
      <c r="D1569" s="12" t="s">
        <v>2254</v>
      </c>
      <c r="E1569" s="67"/>
      <c r="F1569" s="12" t="s">
        <v>4064</v>
      </c>
      <c r="G1569" s="98"/>
      <c r="H1569" s="67"/>
      <c r="I1569" s="71"/>
      <c r="J1569" s="72">
        <v>2109</v>
      </c>
      <c r="K1569" s="88" t="s">
        <v>17</v>
      </c>
      <c r="L1569" s="73"/>
      <c r="M1569" s="11" t="s">
        <v>31</v>
      </c>
    </row>
    <row r="1570" spans="2:13" x14ac:dyDescent="0.25">
      <c r="B1570" s="11" t="s">
        <v>4065</v>
      </c>
      <c r="C1570" s="105">
        <v>45798</v>
      </c>
      <c r="D1570" s="12" t="s">
        <v>4066</v>
      </c>
      <c r="E1570" s="67"/>
      <c r="F1570" s="12" t="s">
        <v>4067</v>
      </c>
      <c r="G1570" s="98"/>
      <c r="H1570" s="67"/>
      <c r="I1570" s="71"/>
      <c r="J1570" s="72">
        <v>1903.5</v>
      </c>
      <c r="K1570" s="88" t="s">
        <v>17</v>
      </c>
      <c r="L1570" s="73"/>
      <c r="M1570" s="11" t="s">
        <v>31</v>
      </c>
    </row>
    <row r="1571" spans="2:13" x14ac:dyDescent="0.25">
      <c r="B1571" s="11" t="s">
        <v>4068</v>
      </c>
      <c r="C1571" s="105">
        <v>45799</v>
      </c>
      <c r="D1571" s="12" t="s">
        <v>4069</v>
      </c>
      <c r="E1571" s="67"/>
      <c r="F1571" s="12" t="s">
        <v>4070</v>
      </c>
      <c r="G1571" s="98"/>
      <c r="H1571" s="67"/>
      <c r="I1571" s="71"/>
      <c r="J1571" s="72">
        <v>930</v>
      </c>
      <c r="K1571" s="88" t="s">
        <v>17</v>
      </c>
      <c r="L1571" s="73"/>
      <c r="M1571" s="11" t="s">
        <v>31</v>
      </c>
    </row>
    <row r="1572" spans="2:13" x14ac:dyDescent="0.25">
      <c r="B1572" s="11" t="s">
        <v>4071</v>
      </c>
      <c r="C1572" s="105">
        <v>45799</v>
      </c>
      <c r="D1572" s="102" t="s">
        <v>115</v>
      </c>
      <c r="E1572" s="67"/>
      <c r="F1572" s="102" t="s">
        <v>233</v>
      </c>
      <c r="G1572" s="98"/>
      <c r="H1572" s="67"/>
      <c r="I1572" s="71"/>
      <c r="J1572" s="72">
        <v>375</v>
      </c>
      <c r="K1572" s="88" t="s">
        <v>17</v>
      </c>
      <c r="L1572" s="73"/>
      <c r="M1572" s="11" t="s">
        <v>31</v>
      </c>
    </row>
    <row r="1573" spans="2:13" x14ac:dyDescent="0.25">
      <c r="B1573" s="11" t="s">
        <v>4072</v>
      </c>
      <c r="C1573" s="105">
        <v>45799</v>
      </c>
      <c r="D1573" s="12" t="s">
        <v>211</v>
      </c>
      <c r="E1573" s="67"/>
      <c r="F1573" s="12" t="s">
        <v>3770</v>
      </c>
      <c r="G1573" s="98"/>
      <c r="H1573" s="67"/>
      <c r="I1573" s="71"/>
      <c r="J1573" s="72">
        <v>200</v>
      </c>
      <c r="K1573" s="88" t="s">
        <v>17</v>
      </c>
      <c r="L1573" s="73"/>
      <c r="M1573" s="11" t="s">
        <v>18</v>
      </c>
    </row>
    <row r="1574" spans="2:13" x14ac:dyDescent="0.25">
      <c r="B1574" s="11" t="s">
        <v>4073</v>
      </c>
      <c r="C1574" s="105">
        <v>45799</v>
      </c>
      <c r="D1574" s="12" t="s">
        <v>346</v>
      </c>
      <c r="E1574" s="67"/>
      <c r="F1574" s="12" t="s">
        <v>922</v>
      </c>
      <c r="G1574" s="98"/>
      <c r="H1574" s="67"/>
      <c r="I1574" s="71"/>
      <c r="J1574" s="72">
        <v>190</v>
      </c>
      <c r="K1574" s="88" t="s">
        <v>17</v>
      </c>
      <c r="L1574" s="73"/>
      <c r="M1574" s="11" t="s">
        <v>18</v>
      </c>
    </row>
    <row r="1575" spans="2:13" x14ac:dyDescent="0.25">
      <c r="B1575" s="11" t="s">
        <v>4074</v>
      </c>
      <c r="C1575" s="105">
        <v>45800</v>
      </c>
      <c r="D1575" s="12" t="s">
        <v>4075</v>
      </c>
      <c r="E1575" s="67"/>
      <c r="F1575" s="12" t="s">
        <v>4076</v>
      </c>
      <c r="G1575" s="98"/>
      <c r="H1575" s="67"/>
      <c r="I1575" s="71"/>
      <c r="J1575" s="72">
        <v>335</v>
      </c>
      <c r="K1575" s="88" t="s">
        <v>1874</v>
      </c>
      <c r="L1575" s="73"/>
      <c r="M1575" s="11" t="s">
        <v>18</v>
      </c>
    </row>
    <row r="1576" spans="2:13" x14ac:dyDescent="0.25">
      <c r="B1576" s="11" t="s">
        <v>4077</v>
      </c>
      <c r="C1576" s="105">
        <v>45800</v>
      </c>
      <c r="D1576" s="12" t="s">
        <v>4078</v>
      </c>
      <c r="E1576" s="67"/>
      <c r="F1576" s="12" t="s">
        <v>4079</v>
      </c>
      <c r="G1576" s="98"/>
      <c r="H1576" s="67"/>
      <c r="I1576" s="71"/>
      <c r="J1576" s="72">
        <v>455</v>
      </c>
      <c r="K1576" s="88" t="s">
        <v>1874</v>
      </c>
      <c r="L1576" s="73"/>
      <c r="M1576" s="11" t="s">
        <v>18</v>
      </c>
    </row>
    <row r="1577" spans="2:13" x14ac:dyDescent="0.25">
      <c r="B1577" s="11" t="s">
        <v>4080</v>
      </c>
      <c r="C1577" s="105">
        <v>45800</v>
      </c>
      <c r="D1577" s="102" t="s">
        <v>1060</v>
      </c>
      <c r="E1577" s="67"/>
      <c r="F1577" s="102" t="s">
        <v>4081</v>
      </c>
      <c r="G1577" s="98"/>
      <c r="H1577" s="67"/>
      <c r="I1577" s="71"/>
      <c r="J1577" s="72">
        <v>1730.8</v>
      </c>
      <c r="K1577" s="88" t="s">
        <v>17</v>
      </c>
      <c r="L1577" s="73"/>
      <c r="M1577" s="11" t="s">
        <v>31</v>
      </c>
    </row>
    <row r="1578" spans="2:13" x14ac:dyDescent="0.25">
      <c r="B1578" s="11" t="s">
        <v>4082</v>
      </c>
      <c r="C1578" s="105">
        <v>45819</v>
      </c>
      <c r="D1578" s="12" t="s">
        <v>463</v>
      </c>
      <c r="E1578" s="67"/>
      <c r="F1578" s="12" t="s">
        <v>4083</v>
      </c>
      <c r="G1578" s="98"/>
      <c r="H1578" s="67"/>
      <c r="I1578" s="71"/>
      <c r="J1578" s="72">
        <v>8750</v>
      </c>
      <c r="K1578" s="88" t="s">
        <v>17</v>
      </c>
      <c r="L1578" s="73"/>
      <c r="M1578" s="11" t="s">
        <v>3698</v>
      </c>
    </row>
    <row r="1579" spans="2:13" x14ac:dyDescent="0.25">
      <c r="B1579" s="11" t="s">
        <v>4084</v>
      </c>
      <c r="C1579" s="105">
        <v>45803</v>
      </c>
      <c r="D1579" s="12" t="s">
        <v>1060</v>
      </c>
      <c r="E1579" s="67"/>
      <c r="F1579" s="12" t="s">
        <v>1019</v>
      </c>
      <c r="G1579" s="98"/>
      <c r="H1579" s="67"/>
      <c r="I1579" s="71"/>
      <c r="J1579" s="72">
        <v>1072.8</v>
      </c>
      <c r="K1579" s="88" t="s">
        <v>17</v>
      </c>
      <c r="L1579" s="73"/>
      <c r="M1579" s="11" t="s">
        <v>31</v>
      </c>
    </row>
    <row r="1580" spans="2:13" x14ac:dyDescent="0.25">
      <c r="B1580" s="11" t="s">
        <v>4085</v>
      </c>
      <c r="C1580" s="105">
        <v>45803</v>
      </c>
      <c r="D1580" s="102" t="s">
        <v>4086</v>
      </c>
      <c r="E1580" s="67"/>
      <c r="F1580" s="102" t="s">
        <v>4087</v>
      </c>
      <c r="G1580" s="98"/>
      <c r="H1580" s="67"/>
      <c r="I1580" s="71"/>
      <c r="J1580" s="72">
        <v>1250</v>
      </c>
      <c r="K1580" s="88" t="s">
        <v>1874</v>
      </c>
      <c r="L1580" s="73"/>
      <c r="M1580" s="11" t="s">
        <v>18</v>
      </c>
    </row>
    <row r="1581" spans="2:13" x14ac:dyDescent="0.25">
      <c r="B1581" s="11" t="s">
        <v>4088</v>
      </c>
      <c r="C1581" s="105">
        <v>45804</v>
      </c>
      <c r="D1581" s="12" t="s">
        <v>211</v>
      </c>
      <c r="E1581" s="67"/>
      <c r="F1581" s="12" t="s">
        <v>2691</v>
      </c>
      <c r="G1581" s="98"/>
      <c r="H1581" s="67"/>
      <c r="I1581" s="71"/>
      <c r="J1581" s="72">
        <v>1275</v>
      </c>
      <c r="K1581" s="88" t="s">
        <v>17</v>
      </c>
      <c r="L1581" s="73"/>
      <c r="M1581" s="11" t="s">
        <v>18</v>
      </c>
    </row>
    <row r="1582" spans="2:13" x14ac:dyDescent="0.25">
      <c r="B1582" s="11" t="s">
        <v>4089</v>
      </c>
      <c r="C1582" s="105">
        <v>45804</v>
      </c>
      <c r="D1582" s="12" t="s">
        <v>2994</v>
      </c>
      <c r="E1582" s="67"/>
      <c r="F1582" s="12" t="s">
        <v>770</v>
      </c>
      <c r="G1582" s="98"/>
      <c r="H1582" s="67"/>
      <c r="I1582" s="71"/>
      <c r="J1582" s="72">
        <v>3900</v>
      </c>
      <c r="K1582" s="88" t="s">
        <v>3239</v>
      </c>
      <c r="L1582" s="73"/>
      <c r="M1582" s="11" t="s">
        <v>18</v>
      </c>
    </row>
    <row r="1583" spans="2:13" x14ac:dyDescent="0.25">
      <c r="B1583" s="11" t="s">
        <v>4090</v>
      </c>
      <c r="C1583" s="105">
        <v>45805</v>
      </c>
      <c r="D1583" s="12" t="s">
        <v>4091</v>
      </c>
      <c r="E1583" s="67"/>
      <c r="F1583" s="12" t="s">
        <v>4092</v>
      </c>
      <c r="G1583" s="98"/>
      <c r="H1583" s="67"/>
      <c r="I1583" s="71"/>
      <c r="J1583" s="72">
        <v>475</v>
      </c>
      <c r="K1583" s="88" t="s">
        <v>1874</v>
      </c>
      <c r="L1583" s="73"/>
      <c r="M1583" s="11" t="s">
        <v>18</v>
      </c>
    </row>
    <row r="1584" spans="2:13" x14ac:dyDescent="0.25">
      <c r="B1584" s="11" t="s">
        <v>4093</v>
      </c>
      <c r="C1584" s="105">
        <v>45805</v>
      </c>
      <c r="D1584" s="12" t="s">
        <v>241</v>
      </c>
      <c r="E1584" s="67"/>
      <c r="F1584" s="12" t="s">
        <v>2977</v>
      </c>
      <c r="G1584" s="98"/>
      <c r="H1584" s="67"/>
      <c r="I1584" s="71"/>
      <c r="J1584" s="72">
        <v>900</v>
      </c>
      <c r="K1584" s="88" t="s">
        <v>17</v>
      </c>
      <c r="L1584" s="73"/>
      <c r="M1584" s="11" t="s">
        <v>31</v>
      </c>
    </row>
    <row r="1585" spans="2:13" x14ac:dyDescent="0.25">
      <c r="B1585" s="11" t="s">
        <v>4094</v>
      </c>
      <c r="C1585" s="105">
        <v>45805</v>
      </c>
      <c r="D1585" s="12" t="s">
        <v>241</v>
      </c>
      <c r="E1585" s="67"/>
      <c r="F1585" s="12" t="s">
        <v>3406</v>
      </c>
      <c r="G1585" s="98"/>
      <c r="H1585" s="67"/>
      <c r="I1585" s="71"/>
      <c r="J1585" s="72">
        <v>144</v>
      </c>
      <c r="K1585" s="88" t="s">
        <v>17</v>
      </c>
      <c r="L1585" s="73"/>
      <c r="M1585" s="11" t="s">
        <v>31</v>
      </c>
    </row>
    <row r="1586" spans="2:13" x14ac:dyDescent="0.25">
      <c r="B1586" s="11" t="s">
        <v>4095</v>
      </c>
      <c r="C1586" s="105">
        <v>45805</v>
      </c>
      <c r="D1586" s="12" t="s">
        <v>4096</v>
      </c>
      <c r="E1586" s="67"/>
      <c r="F1586" s="12" t="s">
        <v>4097</v>
      </c>
      <c r="G1586" s="98"/>
      <c r="H1586" s="67"/>
      <c r="I1586" s="71"/>
      <c r="J1586" s="72">
        <v>870</v>
      </c>
      <c r="K1586" s="88" t="s">
        <v>1874</v>
      </c>
      <c r="L1586" s="73"/>
      <c r="M1586" s="11" t="s">
        <v>31</v>
      </c>
    </row>
    <row r="1587" spans="2:13" x14ac:dyDescent="0.25">
      <c r="B1587" s="11" t="s">
        <v>4098</v>
      </c>
      <c r="C1587" s="105">
        <v>45805</v>
      </c>
      <c r="D1587" s="12" t="s">
        <v>3367</v>
      </c>
      <c r="E1587" s="67"/>
      <c r="F1587" s="12" t="s">
        <v>2674</v>
      </c>
      <c r="G1587" s="98"/>
      <c r="H1587" s="67"/>
      <c r="I1587" s="71"/>
      <c r="J1587" s="72">
        <v>1775</v>
      </c>
      <c r="K1587" s="88" t="s">
        <v>1874</v>
      </c>
      <c r="L1587" s="73"/>
      <c r="M1587" s="11" t="s">
        <v>31</v>
      </c>
    </row>
    <row r="1588" spans="2:13" x14ac:dyDescent="0.25">
      <c r="B1588" s="11" t="s">
        <v>4099</v>
      </c>
      <c r="C1588" s="105">
        <v>45806</v>
      </c>
      <c r="D1588" s="12" t="s">
        <v>3661</v>
      </c>
      <c r="E1588" s="67"/>
      <c r="F1588" s="12" t="s">
        <v>4100</v>
      </c>
      <c r="G1588" s="98"/>
      <c r="H1588" s="67"/>
      <c r="I1588" s="71"/>
      <c r="J1588" s="72">
        <v>25025</v>
      </c>
      <c r="K1588" s="88" t="s">
        <v>17</v>
      </c>
      <c r="L1588" s="73"/>
      <c r="M1588" s="11" t="s">
        <v>3341</v>
      </c>
    </row>
    <row r="1589" spans="2:13" x14ac:dyDescent="0.25">
      <c r="B1589" s="11" t="s">
        <v>4101</v>
      </c>
      <c r="C1589" s="105">
        <v>45806</v>
      </c>
      <c r="D1589" s="12" t="s">
        <v>3206</v>
      </c>
      <c r="E1589" s="67"/>
      <c r="F1589" s="12" t="s">
        <v>4102</v>
      </c>
      <c r="G1589" s="98"/>
      <c r="H1589" s="67"/>
      <c r="I1589" s="71"/>
      <c r="J1589" s="72">
        <v>2260</v>
      </c>
      <c r="K1589" s="88" t="s">
        <v>461</v>
      </c>
      <c r="L1589" s="73"/>
      <c r="M1589" s="11" t="s">
        <v>18</v>
      </c>
    </row>
    <row r="1590" spans="2:13" x14ac:dyDescent="0.25">
      <c r="B1590" s="11" t="s">
        <v>4103</v>
      </c>
      <c r="C1590" s="105">
        <v>45806</v>
      </c>
      <c r="D1590" s="12" t="s">
        <v>115</v>
      </c>
      <c r="E1590" s="67"/>
      <c r="F1590" s="12" t="s">
        <v>4104</v>
      </c>
      <c r="G1590" s="98"/>
      <c r="H1590" s="67"/>
      <c r="I1590" s="71"/>
      <c r="J1590" s="72">
        <v>500</v>
      </c>
      <c r="K1590" s="88" t="s">
        <v>4105</v>
      </c>
      <c r="L1590" s="73"/>
      <c r="M1590" s="11" t="s">
        <v>31</v>
      </c>
    </row>
    <row r="1591" spans="2:13" x14ac:dyDescent="0.25">
      <c r="B1591" s="11" t="s">
        <v>4106</v>
      </c>
      <c r="C1591" s="105">
        <v>45811</v>
      </c>
      <c r="D1591" s="102" t="s">
        <v>3469</v>
      </c>
      <c r="E1591" s="67"/>
      <c r="F1591" s="102" t="s">
        <v>4107</v>
      </c>
      <c r="G1591" s="98"/>
      <c r="H1591" s="67"/>
      <c r="I1591" s="71"/>
      <c r="J1591" s="72">
        <v>1235</v>
      </c>
      <c r="K1591" s="88" t="s">
        <v>17</v>
      </c>
      <c r="L1591" s="73"/>
      <c r="M1591" s="11" t="s">
        <v>31</v>
      </c>
    </row>
    <row r="1592" spans="2:13" x14ac:dyDescent="0.25">
      <c r="B1592" s="11" t="s">
        <v>4108</v>
      </c>
      <c r="C1592" s="105">
        <v>45811</v>
      </c>
      <c r="D1592" s="12" t="s">
        <v>4109</v>
      </c>
      <c r="E1592" s="67"/>
      <c r="F1592" s="12" t="s">
        <v>4110</v>
      </c>
      <c r="G1592" s="98"/>
      <c r="H1592" s="67"/>
      <c r="I1592" s="71"/>
      <c r="J1592" s="72">
        <v>29000</v>
      </c>
      <c r="K1592" s="88" t="s">
        <v>17</v>
      </c>
      <c r="L1592" s="73"/>
      <c r="M1592" s="11" t="s">
        <v>3698</v>
      </c>
    </row>
    <row r="1593" spans="2:13" x14ac:dyDescent="0.25">
      <c r="B1593" s="11" t="s">
        <v>4111</v>
      </c>
      <c r="C1593" s="105">
        <v>45811</v>
      </c>
      <c r="D1593" s="12" t="s">
        <v>2285</v>
      </c>
      <c r="E1593" s="67"/>
      <c r="F1593" s="12" t="s">
        <v>2312</v>
      </c>
      <c r="G1593" s="98"/>
      <c r="H1593" s="67"/>
      <c r="I1593" s="71"/>
      <c r="J1593" s="72">
        <v>975</v>
      </c>
      <c r="K1593" s="88" t="s">
        <v>17</v>
      </c>
      <c r="L1593" s="73"/>
      <c r="M1593" s="11" t="s">
        <v>18</v>
      </c>
    </row>
    <row r="1594" spans="2:13" x14ac:dyDescent="0.25">
      <c r="B1594" s="11" t="s">
        <v>4112</v>
      </c>
      <c r="C1594" s="105">
        <v>45811</v>
      </c>
      <c r="D1594" s="12" t="s">
        <v>2285</v>
      </c>
      <c r="E1594" s="67"/>
      <c r="F1594" s="12" t="s">
        <v>4113</v>
      </c>
      <c r="G1594" s="98"/>
      <c r="H1594" s="67"/>
      <c r="I1594" s="71"/>
      <c r="J1594" s="72">
        <v>425</v>
      </c>
      <c r="K1594" s="88" t="s">
        <v>17</v>
      </c>
      <c r="L1594" s="73"/>
      <c r="M1594" s="11" t="s">
        <v>18</v>
      </c>
    </row>
    <row r="1595" spans="2:13" x14ac:dyDescent="0.25">
      <c r="B1595" s="11" t="s">
        <v>4114</v>
      </c>
      <c r="C1595" s="105">
        <v>45810</v>
      </c>
      <c r="D1595" s="12" t="s">
        <v>4115</v>
      </c>
      <c r="E1595" s="67"/>
      <c r="F1595" s="12" t="s">
        <v>4116</v>
      </c>
      <c r="G1595" s="98"/>
      <c r="H1595" s="67"/>
      <c r="I1595" s="71"/>
      <c r="J1595" s="72">
        <v>62625</v>
      </c>
      <c r="K1595" s="88" t="s">
        <v>17</v>
      </c>
      <c r="L1595" s="73"/>
      <c r="M1595" s="11" t="s">
        <v>3341</v>
      </c>
    </row>
    <row r="1596" spans="2:13" x14ac:dyDescent="0.25">
      <c r="B1596" s="11" t="s">
        <v>4117</v>
      </c>
      <c r="C1596" s="105">
        <v>45831</v>
      </c>
      <c r="D1596" s="12" t="s">
        <v>3799</v>
      </c>
      <c r="E1596" s="67"/>
      <c r="F1596" s="12" t="s">
        <v>4118</v>
      </c>
      <c r="G1596" s="98"/>
      <c r="H1596" s="67"/>
      <c r="I1596" s="71"/>
      <c r="J1596" s="72">
        <v>11170</v>
      </c>
      <c r="K1596" s="88" t="s">
        <v>17</v>
      </c>
      <c r="L1596" s="73"/>
      <c r="M1596" s="11" t="s">
        <v>18</v>
      </c>
    </row>
    <row r="1597" spans="2:13" x14ac:dyDescent="0.25">
      <c r="B1597" s="11" t="s">
        <v>4119</v>
      </c>
      <c r="C1597" s="105">
        <v>45811</v>
      </c>
      <c r="D1597" s="12" t="s">
        <v>499</v>
      </c>
      <c r="E1597" s="67"/>
      <c r="F1597" s="12" t="s">
        <v>500</v>
      </c>
      <c r="G1597" s="98"/>
      <c r="H1597" s="67"/>
      <c r="I1597" s="71"/>
      <c r="J1597" s="72">
        <v>10650</v>
      </c>
      <c r="K1597" s="88" t="s">
        <v>3625</v>
      </c>
      <c r="L1597" s="73"/>
      <c r="M1597" s="11" t="s">
        <v>31</v>
      </c>
    </row>
    <row r="1598" spans="2:13" x14ac:dyDescent="0.25">
      <c r="B1598" s="11" t="s">
        <v>4120</v>
      </c>
      <c r="C1598" s="105">
        <v>45811</v>
      </c>
      <c r="D1598" s="12" t="s">
        <v>601</v>
      </c>
      <c r="E1598" s="67"/>
      <c r="F1598" s="12" t="s">
        <v>3450</v>
      </c>
      <c r="G1598" s="98"/>
      <c r="H1598" s="67"/>
      <c r="I1598" s="71"/>
      <c r="J1598" s="72">
        <v>4050</v>
      </c>
      <c r="K1598" s="88" t="s">
        <v>17</v>
      </c>
      <c r="L1598" s="73"/>
      <c r="M1598" s="11" t="s">
        <v>18</v>
      </c>
    </row>
    <row r="1599" spans="2:13" x14ac:dyDescent="0.25">
      <c r="B1599" s="11" t="s">
        <v>4121</v>
      </c>
      <c r="C1599" s="105">
        <v>45811</v>
      </c>
      <c r="D1599" s="12" t="s">
        <v>241</v>
      </c>
      <c r="E1599" s="67"/>
      <c r="F1599" s="12" t="s">
        <v>4122</v>
      </c>
      <c r="G1599" s="98"/>
      <c r="H1599" s="67"/>
      <c r="I1599" s="71"/>
      <c r="J1599" s="72">
        <v>405</v>
      </c>
      <c r="K1599" s="88" t="s">
        <v>17</v>
      </c>
      <c r="L1599" s="73"/>
      <c r="M1599" s="11" t="s">
        <v>31</v>
      </c>
    </row>
    <row r="1600" spans="2:13" x14ac:dyDescent="0.25">
      <c r="B1600" s="11" t="s">
        <v>4123</v>
      </c>
      <c r="C1600" s="105">
        <v>45811</v>
      </c>
      <c r="D1600" t="s">
        <v>3723</v>
      </c>
      <c r="E1600" s="67"/>
      <c r="F1600" t="s">
        <v>4124</v>
      </c>
      <c r="G1600" s="98"/>
      <c r="H1600" s="67"/>
      <c r="I1600" s="71"/>
      <c r="J1600" s="72">
        <v>6530</v>
      </c>
      <c r="K1600" s="88" t="s">
        <v>17</v>
      </c>
      <c r="L1600" s="73"/>
      <c r="M1600" s="11" t="s">
        <v>31</v>
      </c>
    </row>
    <row r="1601" spans="2:13" x14ac:dyDescent="0.25">
      <c r="B1601" s="11" t="s">
        <v>4125</v>
      </c>
      <c r="C1601" s="105">
        <v>45811</v>
      </c>
      <c r="D1601" s="12" t="s">
        <v>429</v>
      </c>
      <c r="E1601" s="67"/>
      <c r="F1601" s="12" t="s">
        <v>4126</v>
      </c>
      <c r="G1601" s="98"/>
      <c r="H1601" s="67"/>
      <c r="I1601" s="71"/>
      <c r="J1601" s="72">
        <v>1035</v>
      </c>
      <c r="K1601" s="88" t="s">
        <v>17</v>
      </c>
      <c r="L1601" s="73"/>
      <c r="M1601" s="11" t="s">
        <v>31</v>
      </c>
    </row>
    <row r="1602" spans="2:13" x14ac:dyDescent="0.25">
      <c r="B1602" s="11" t="s">
        <v>4127</v>
      </c>
      <c r="C1602" s="105">
        <v>45812</v>
      </c>
      <c r="D1602" s="12" t="s">
        <v>574</v>
      </c>
      <c r="E1602" s="67"/>
      <c r="F1602" s="12" t="s">
        <v>4128</v>
      </c>
      <c r="G1602" s="98"/>
      <c r="H1602" s="67"/>
      <c r="I1602" s="71"/>
      <c r="J1602" s="72">
        <v>14712.5</v>
      </c>
      <c r="K1602" s="88" t="s">
        <v>17</v>
      </c>
      <c r="L1602" s="73"/>
      <c r="M1602" s="11" t="s">
        <v>31</v>
      </c>
    </row>
    <row r="1603" spans="2:13" x14ac:dyDescent="0.25">
      <c r="B1603" s="11" t="s">
        <v>4129</v>
      </c>
      <c r="C1603" s="105">
        <v>45812</v>
      </c>
      <c r="D1603" s="12" t="s">
        <v>4066</v>
      </c>
      <c r="E1603" s="67"/>
      <c r="F1603" s="12" t="s">
        <v>4130</v>
      </c>
      <c r="G1603" s="98"/>
      <c r="H1603" s="67"/>
      <c r="I1603" s="71"/>
      <c r="J1603" s="72">
        <v>1900</v>
      </c>
      <c r="K1603" s="88" t="s">
        <v>3625</v>
      </c>
      <c r="L1603" s="73"/>
      <c r="M1603" s="11" t="s">
        <v>3341</v>
      </c>
    </row>
    <row r="1604" spans="2:13" x14ac:dyDescent="0.25">
      <c r="B1604" s="11" t="s">
        <v>4131</v>
      </c>
      <c r="C1604" s="105">
        <v>45812</v>
      </c>
      <c r="D1604" s="12" t="s">
        <v>241</v>
      </c>
      <c r="E1604" s="67"/>
      <c r="F1604" s="12" t="s">
        <v>1901</v>
      </c>
      <c r="G1604" s="98"/>
      <c r="H1604" s="67"/>
      <c r="I1604" s="71"/>
      <c r="J1604" s="72">
        <v>575</v>
      </c>
      <c r="K1604" s="88" t="s">
        <v>17</v>
      </c>
      <c r="L1604" s="73"/>
      <c r="M1604" s="11" t="s">
        <v>31</v>
      </c>
    </row>
    <row r="1605" spans="2:13" x14ac:dyDescent="0.25">
      <c r="B1605" s="11" t="s">
        <v>4132</v>
      </c>
      <c r="C1605" s="105">
        <v>45812</v>
      </c>
      <c r="D1605" s="12" t="s">
        <v>154</v>
      </c>
      <c r="E1605" s="67"/>
      <c r="F1605" s="12" t="s">
        <v>4133</v>
      </c>
      <c r="G1605" s="98"/>
      <c r="H1605" s="67"/>
      <c r="I1605" s="71"/>
      <c r="J1605" s="72">
        <v>2550</v>
      </c>
      <c r="K1605" s="88" t="s">
        <v>17</v>
      </c>
      <c r="L1605" s="73"/>
      <c r="M1605" s="11" t="s">
        <v>31</v>
      </c>
    </row>
    <row r="1606" spans="2:13" x14ac:dyDescent="0.25">
      <c r="B1606" s="11" t="s">
        <v>4134</v>
      </c>
      <c r="C1606" s="105">
        <v>45812</v>
      </c>
      <c r="D1606" s="12" t="s">
        <v>115</v>
      </c>
      <c r="E1606" s="67"/>
      <c r="F1606" s="12" t="s">
        <v>22</v>
      </c>
      <c r="G1606" s="98"/>
      <c r="H1606" s="67"/>
      <c r="I1606" s="71"/>
      <c r="J1606" s="72">
        <v>1450</v>
      </c>
      <c r="K1606" s="88" t="s">
        <v>17</v>
      </c>
      <c r="L1606" s="73"/>
      <c r="M1606" s="11" t="s">
        <v>31</v>
      </c>
    </row>
    <row r="1607" spans="2:13" x14ac:dyDescent="0.25">
      <c r="B1607" s="11" t="s">
        <v>4135</v>
      </c>
      <c r="C1607" s="105">
        <v>45812</v>
      </c>
      <c r="D1607" s="12" t="s">
        <v>1130</v>
      </c>
      <c r="E1607" s="67"/>
      <c r="F1607" s="12" t="s">
        <v>4136</v>
      </c>
      <c r="G1607" s="98"/>
      <c r="H1607" s="67"/>
      <c r="I1607" s="71"/>
      <c r="J1607" s="72">
        <v>1750</v>
      </c>
      <c r="K1607" s="88" t="s">
        <v>17</v>
      </c>
      <c r="L1607" s="73"/>
      <c r="M1607" s="11" t="s">
        <v>18</v>
      </c>
    </row>
    <row r="1608" spans="2:13" x14ac:dyDescent="0.25">
      <c r="B1608" s="11" t="s">
        <v>4137</v>
      </c>
      <c r="C1608" s="105">
        <v>45817</v>
      </c>
      <c r="D1608" s="102" t="s">
        <v>1060</v>
      </c>
      <c r="E1608" s="67"/>
      <c r="F1608" s="102" t="s">
        <v>4138</v>
      </c>
      <c r="G1608" s="98"/>
      <c r="H1608" s="67"/>
      <c r="I1608" s="71"/>
      <c r="J1608" s="72">
        <v>90</v>
      </c>
      <c r="K1608" s="88" t="s">
        <v>17</v>
      </c>
      <c r="L1608" s="73"/>
      <c r="M1608" s="11" t="s">
        <v>31</v>
      </c>
    </row>
    <row r="1609" spans="2:13" x14ac:dyDescent="0.25">
      <c r="B1609" s="11" t="s">
        <v>4139</v>
      </c>
      <c r="C1609" s="105">
        <v>45818</v>
      </c>
      <c r="D1609" s="12" t="s">
        <v>4096</v>
      </c>
      <c r="E1609" s="67"/>
      <c r="F1609" s="12" t="s">
        <v>4140</v>
      </c>
      <c r="G1609" s="98"/>
      <c r="H1609" s="67"/>
      <c r="I1609" s="71"/>
      <c r="J1609" s="72">
        <v>1575</v>
      </c>
      <c r="K1609" s="88" t="s">
        <v>1874</v>
      </c>
      <c r="L1609" s="73"/>
      <c r="M1609" s="11" t="s">
        <v>18</v>
      </c>
    </row>
    <row r="1610" spans="2:13" x14ac:dyDescent="0.25">
      <c r="B1610" s="11" t="s">
        <v>4141</v>
      </c>
      <c r="C1610" s="105">
        <v>45818</v>
      </c>
      <c r="D1610" t="s">
        <v>27</v>
      </c>
      <c r="E1610" s="67"/>
      <c r="F1610" s="102" t="s">
        <v>4142</v>
      </c>
      <c r="G1610" s="98"/>
      <c r="H1610" s="67"/>
      <c r="I1610" s="71"/>
      <c r="J1610" s="72">
        <v>700</v>
      </c>
      <c r="K1610" s="88" t="s">
        <v>17</v>
      </c>
      <c r="L1610" s="73"/>
      <c r="M1610" s="11" t="s">
        <v>31</v>
      </c>
    </row>
    <row r="1611" spans="2:13" x14ac:dyDescent="0.25">
      <c r="B1611" s="11" t="s">
        <v>4143</v>
      </c>
      <c r="C1611" s="105">
        <v>45818</v>
      </c>
      <c r="D1611" s="12" t="s">
        <v>211</v>
      </c>
      <c r="E1611" s="67"/>
      <c r="F1611" s="12" t="s">
        <v>4144</v>
      </c>
      <c r="G1611" s="98"/>
      <c r="H1611" s="67"/>
      <c r="I1611" s="71"/>
      <c r="J1611" s="72">
        <v>2470.5</v>
      </c>
      <c r="K1611" s="88" t="s">
        <v>17</v>
      </c>
      <c r="L1611" s="73"/>
      <c r="M1611" s="11" t="s">
        <v>18</v>
      </c>
    </row>
    <row r="1612" spans="2:13" x14ac:dyDescent="0.25">
      <c r="B1612" s="11" t="s">
        <v>4145</v>
      </c>
      <c r="C1612" s="105">
        <v>45818</v>
      </c>
      <c r="D1612" s="12" t="s">
        <v>4146</v>
      </c>
      <c r="E1612" s="67"/>
      <c r="F1612" t="s">
        <v>4147</v>
      </c>
      <c r="G1612" s="98"/>
      <c r="H1612" s="67"/>
      <c r="I1612" s="71"/>
      <c r="J1612" s="72">
        <v>1233.75</v>
      </c>
      <c r="K1612" s="88" t="s">
        <v>1874</v>
      </c>
      <c r="L1612" s="73"/>
      <c r="M1612" s="11" t="s">
        <v>18</v>
      </c>
    </row>
    <row r="1613" spans="2:13" x14ac:dyDescent="0.25">
      <c r="B1613" s="11" t="s">
        <v>4148</v>
      </c>
      <c r="C1613" s="105">
        <v>45818</v>
      </c>
      <c r="D1613" s="12" t="s">
        <v>3315</v>
      </c>
      <c r="E1613" s="67"/>
      <c r="F1613" s="12" t="s">
        <v>4149</v>
      </c>
      <c r="G1613" s="98"/>
      <c r="H1613" s="67"/>
      <c r="I1613" s="71"/>
      <c r="J1613" s="72">
        <v>3700</v>
      </c>
      <c r="K1613" s="88" t="s">
        <v>1874</v>
      </c>
      <c r="L1613" s="73"/>
      <c r="M1613" s="11" t="s">
        <v>18</v>
      </c>
    </row>
    <row r="1614" spans="2:13" x14ac:dyDescent="0.25">
      <c r="B1614" s="11" t="s">
        <v>4150</v>
      </c>
      <c r="C1614" s="105">
        <v>45818</v>
      </c>
      <c r="D1614" t="s">
        <v>27</v>
      </c>
      <c r="E1614" s="67"/>
      <c r="F1614" s="12" t="s">
        <v>4151</v>
      </c>
      <c r="G1614" s="98"/>
      <c r="H1614" s="67"/>
      <c r="I1614" s="71"/>
      <c r="J1614" s="72">
        <v>855</v>
      </c>
      <c r="K1614" s="88" t="s">
        <v>17</v>
      </c>
      <c r="L1614" s="73"/>
      <c r="M1614" s="11" t="s">
        <v>31</v>
      </c>
    </row>
    <row r="1615" spans="2:13" x14ac:dyDescent="0.25">
      <c r="B1615" s="11" t="s">
        <v>4152</v>
      </c>
      <c r="C1615" s="105">
        <v>45818</v>
      </c>
      <c r="D1615" s="12" t="s">
        <v>4009</v>
      </c>
      <c r="E1615" s="67"/>
      <c r="F1615" s="12" t="s">
        <v>4153</v>
      </c>
      <c r="G1615" s="98"/>
      <c r="H1615" s="67"/>
      <c r="I1615" s="71"/>
      <c r="J1615" s="72">
        <v>850</v>
      </c>
      <c r="K1615" s="88" t="s">
        <v>17</v>
      </c>
      <c r="L1615" s="73"/>
      <c r="M1615" s="11" t="s">
        <v>18</v>
      </c>
    </row>
    <row r="1616" spans="2:13" x14ac:dyDescent="0.25">
      <c r="B1616" s="45" t="s">
        <v>4154</v>
      </c>
      <c r="C1616" s="105">
        <v>45818</v>
      </c>
      <c r="D1616" t="s">
        <v>2233</v>
      </c>
      <c r="E1616" s="67"/>
      <c r="F1616" s="12" t="s">
        <v>4155</v>
      </c>
      <c r="G1616" s="98"/>
      <c r="H1616" s="67"/>
      <c r="I1616" s="71"/>
      <c r="J1616" s="72">
        <v>987.5</v>
      </c>
      <c r="K1616" s="88" t="s">
        <v>17</v>
      </c>
      <c r="L1616" s="73"/>
      <c r="M1616" s="11" t="s">
        <v>31</v>
      </c>
    </row>
    <row r="1617" spans="2:13" x14ac:dyDescent="0.25">
      <c r="B1617" s="45" t="s">
        <v>4156</v>
      </c>
      <c r="C1617" s="105">
        <v>45820</v>
      </c>
      <c r="D1617" s="12" t="s">
        <v>463</v>
      </c>
      <c r="E1617" s="67"/>
      <c r="F1617" s="12" t="s">
        <v>4157</v>
      </c>
      <c r="G1617" s="98"/>
      <c r="H1617" s="67"/>
      <c r="I1617" s="71"/>
      <c r="J1617" s="72">
        <v>23840</v>
      </c>
      <c r="K1617" s="88" t="s">
        <v>17</v>
      </c>
      <c r="L1617" s="73"/>
      <c r="M1617" s="11" t="s">
        <v>31</v>
      </c>
    </row>
    <row r="1618" spans="2:13" x14ac:dyDescent="0.25">
      <c r="B1618" s="45" t="s">
        <v>4158</v>
      </c>
      <c r="C1618" s="105">
        <v>45819</v>
      </c>
      <c r="D1618" s="12" t="s">
        <v>3851</v>
      </c>
      <c r="E1618" s="67"/>
      <c r="F1618" t="s">
        <v>780</v>
      </c>
      <c r="G1618" s="98"/>
      <c r="H1618" s="67"/>
      <c r="I1618" s="71"/>
      <c r="J1618" s="72">
        <v>1320</v>
      </c>
      <c r="K1618" s="88" t="s">
        <v>17</v>
      </c>
      <c r="L1618" s="73"/>
      <c r="M1618" s="11" t="s">
        <v>31</v>
      </c>
    </row>
    <row r="1619" spans="2:13" x14ac:dyDescent="0.25">
      <c r="B1619" s="45" t="s">
        <v>4159</v>
      </c>
      <c r="C1619" s="105">
        <v>45820</v>
      </c>
      <c r="D1619" s="12" t="s">
        <v>241</v>
      </c>
      <c r="E1619" s="67"/>
      <c r="F1619" s="12" t="s">
        <v>4160</v>
      </c>
      <c r="G1619" s="98"/>
      <c r="H1619" s="67"/>
      <c r="I1619" s="71"/>
      <c r="J1619" s="72">
        <v>760</v>
      </c>
      <c r="K1619" s="88" t="s">
        <v>17</v>
      </c>
      <c r="L1619" s="73"/>
      <c r="M1619" s="11" t="s">
        <v>31</v>
      </c>
    </row>
    <row r="1620" spans="2:13" x14ac:dyDescent="0.25">
      <c r="B1620" s="45" t="s">
        <v>4161</v>
      </c>
      <c r="C1620" s="105">
        <v>45819</v>
      </c>
      <c r="D1620" s="12" t="s">
        <v>27</v>
      </c>
      <c r="E1620" s="67"/>
      <c r="F1620" s="12" t="s">
        <v>4162</v>
      </c>
      <c r="G1620" s="98"/>
      <c r="H1620" s="67"/>
      <c r="I1620" s="71"/>
      <c r="J1620" s="72">
        <v>1358</v>
      </c>
      <c r="K1620" s="88" t="s">
        <v>17</v>
      </c>
      <c r="L1620" s="73"/>
      <c r="M1620" s="11" t="s">
        <v>31</v>
      </c>
    </row>
    <row r="1621" spans="2:13" x14ac:dyDescent="0.25">
      <c r="B1621" s="45" t="s">
        <v>4163</v>
      </c>
      <c r="C1621" s="105">
        <v>45821</v>
      </c>
      <c r="D1621" s="102" t="s">
        <v>4164</v>
      </c>
      <c r="E1621" s="67"/>
      <c r="F1621" t="s">
        <v>4165</v>
      </c>
      <c r="G1621" s="98"/>
      <c r="H1621" s="67"/>
      <c r="I1621" s="71"/>
      <c r="J1621" s="72">
        <v>1575</v>
      </c>
      <c r="K1621" s="88" t="s">
        <v>3625</v>
      </c>
      <c r="L1621" s="73"/>
      <c r="M1621" s="11" t="s">
        <v>18</v>
      </c>
    </row>
    <row r="1622" spans="2:13" x14ac:dyDescent="0.25">
      <c r="B1622" s="45" t="s">
        <v>4166</v>
      </c>
      <c r="C1622" s="105">
        <v>45820</v>
      </c>
      <c r="D1622" s="12" t="s">
        <v>4167</v>
      </c>
      <c r="E1622" s="67"/>
      <c r="F1622" s="12" t="s">
        <v>4168</v>
      </c>
      <c r="G1622" s="98"/>
      <c r="H1622" s="67"/>
      <c r="I1622" s="71"/>
      <c r="J1622" s="72">
        <v>6500</v>
      </c>
      <c r="K1622" s="88" t="s">
        <v>1874</v>
      </c>
      <c r="L1622" s="73"/>
      <c r="M1622" s="11" t="s">
        <v>3698</v>
      </c>
    </row>
    <row r="1623" spans="2:13" x14ac:dyDescent="0.25">
      <c r="B1623" s="45" t="s">
        <v>4169</v>
      </c>
      <c r="C1623" s="105">
        <v>45821</v>
      </c>
      <c r="D1623" s="12" t="s">
        <v>1459</v>
      </c>
      <c r="E1623" s="67"/>
      <c r="F1623" s="12" t="s">
        <v>4170</v>
      </c>
      <c r="G1623" s="98"/>
      <c r="H1623" s="67"/>
      <c r="I1623" s="71"/>
      <c r="J1623" s="72">
        <v>822.5</v>
      </c>
      <c r="K1623" s="88" t="s">
        <v>17</v>
      </c>
      <c r="L1623" s="73"/>
      <c r="M1623" s="11" t="s">
        <v>31</v>
      </c>
    </row>
    <row r="1624" spans="2:13" x14ac:dyDescent="0.25">
      <c r="B1624" s="45" t="s">
        <v>4171</v>
      </c>
      <c r="C1624" s="105">
        <v>45821</v>
      </c>
      <c r="D1624" s="12" t="s">
        <v>3904</v>
      </c>
      <c r="E1624" s="67"/>
      <c r="F1624" s="12" t="s">
        <v>780</v>
      </c>
      <c r="G1624" s="98"/>
      <c r="H1624" s="67"/>
      <c r="I1624" s="71"/>
      <c r="J1624" s="72">
        <v>975</v>
      </c>
      <c r="K1624" s="88" t="s">
        <v>3625</v>
      </c>
      <c r="L1624" s="73"/>
      <c r="M1624" s="11" t="s">
        <v>18</v>
      </c>
    </row>
    <row r="1625" spans="2:13" x14ac:dyDescent="0.25">
      <c r="B1625" s="45" t="s">
        <v>4172</v>
      </c>
      <c r="C1625" s="105">
        <v>45821</v>
      </c>
      <c r="D1625" s="102" t="s">
        <v>3904</v>
      </c>
      <c r="E1625" s="67"/>
      <c r="F1625" s="102" t="s">
        <v>780</v>
      </c>
      <c r="G1625" s="98"/>
      <c r="H1625" s="67"/>
      <c r="I1625" s="71"/>
      <c r="J1625" s="72">
        <v>1375</v>
      </c>
      <c r="K1625" s="88" t="s">
        <v>3625</v>
      </c>
      <c r="L1625" s="73"/>
      <c r="M1625" s="11" t="s">
        <v>18</v>
      </c>
    </row>
    <row r="1626" spans="2:13" x14ac:dyDescent="0.25">
      <c r="B1626" s="45" t="s">
        <v>4173</v>
      </c>
      <c r="C1626" s="105">
        <v>45824</v>
      </c>
      <c r="D1626" s="12" t="s">
        <v>211</v>
      </c>
      <c r="E1626" s="67"/>
      <c r="F1626" s="12" t="s">
        <v>4174</v>
      </c>
      <c r="G1626" s="98"/>
      <c r="H1626" s="67"/>
      <c r="I1626" s="71"/>
      <c r="J1626" s="72">
        <v>1967.25</v>
      </c>
      <c r="K1626" s="88" t="s">
        <v>17</v>
      </c>
      <c r="L1626" s="73"/>
      <c r="M1626" s="11" t="s">
        <v>18</v>
      </c>
    </row>
    <row r="1627" spans="2:13" x14ac:dyDescent="0.25">
      <c r="B1627" s="45" t="s">
        <v>4175</v>
      </c>
      <c r="C1627" s="105">
        <v>45824</v>
      </c>
      <c r="D1627" s="12" t="s">
        <v>27</v>
      </c>
      <c r="E1627" s="67"/>
      <c r="F1627" s="12" t="s">
        <v>393</v>
      </c>
      <c r="G1627" s="98"/>
      <c r="H1627" s="67"/>
      <c r="I1627" s="71"/>
      <c r="J1627" s="72">
        <v>1895</v>
      </c>
      <c r="K1627" s="88" t="s">
        <v>17</v>
      </c>
      <c r="L1627" s="73"/>
      <c r="M1627" s="11" t="s">
        <v>31</v>
      </c>
    </row>
    <row r="1628" spans="2:13" x14ac:dyDescent="0.25">
      <c r="B1628" s="45" t="s">
        <v>4176</v>
      </c>
      <c r="C1628" s="105">
        <v>45822</v>
      </c>
      <c r="D1628" s="12" t="s">
        <v>4177</v>
      </c>
      <c r="E1628" s="67"/>
      <c r="F1628" t="s">
        <v>4178</v>
      </c>
      <c r="G1628" s="98"/>
      <c r="H1628" s="67"/>
      <c r="I1628" s="71"/>
      <c r="J1628" s="72">
        <v>11550</v>
      </c>
      <c r="K1628" s="88" t="s">
        <v>1874</v>
      </c>
      <c r="L1628" s="73"/>
      <c r="M1628" s="11" t="s">
        <v>3341</v>
      </c>
    </row>
    <row r="1629" spans="2:13" x14ac:dyDescent="0.25">
      <c r="B1629" s="45" t="s">
        <v>4179</v>
      </c>
      <c r="C1629" s="105">
        <v>45824</v>
      </c>
      <c r="D1629" s="12" t="s">
        <v>3071</v>
      </c>
      <c r="E1629" s="67"/>
      <c r="F1629" s="12" t="s">
        <v>4180</v>
      </c>
      <c r="G1629" s="98"/>
      <c r="H1629" s="67"/>
      <c r="I1629" s="71"/>
      <c r="J1629" s="72">
        <v>2120</v>
      </c>
      <c r="K1629" s="88" t="s">
        <v>1874</v>
      </c>
      <c r="L1629" s="73"/>
      <c r="M1629" s="11" t="s">
        <v>18</v>
      </c>
    </row>
    <row r="1630" spans="2:13" x14ac:dyDescent="0.25">
      <c r="B1630" s="45" t="s">
        <v>4181</v>
      </c>
      <c r="C1630" s="105">
        <v>45824</v>
      </c>
      <c r="D1630" s="12" t="s">
        <v>4182</v>
      </c>
      <c r="E1630" s="67"/>
      <c r="F1630" s="12" t="s">
        <v>874</v>
      </c>
      <c r="G1630" s="98"/>
      <c r="H1630" s="67"/>
      <c r="I1630" s="71"/>
      <c r="J1630" s="72">
        <v>3375</v>
      </c>
      <c r="K1630" s="88" t="s">
        <v>1874</v>
      </c>
      <c r="L1630" s="73"/>
      <c r="M1630" s="11" t="s">
        <v>18</v>
      </c>
    </row>
    <row r="1631" spans="2:13" x14ac:dyDescent="0.25">
      <c r="B1631" s="45" t="s">
        <v>4183</v>
      </c>
      <c r="C1631" s="105">
        <v>45824</v>
      </c>
      <c r="D1631" s="12" t="s">
        <v>1459</v>
      </c>
      <c r="E1631" s="67"/>
      <c r="F1631" s="12" t="s">
        <v>4184</v>
      </c>
      <c r="G1631" s="98"/>
      <c r="H1631" s="67"/>
      <c r="I1631" s="71"/>
      <c r="J1631" s="72">
        <v>2595</v>
      </c>
      <c r="K1631" s="88" t="s">
        <v>17</v>
      </c>
      <c r="L1631" s="73"/>
      <c r="M1631" s="11" t="s">
        <v>18</v>
      </c>
    </row>
    <row r="1632" spans="2:13" x14ac:dyDescent="0.25">
      <c r="B1632" s="45" t="s">
        <v>4185</v>
      </c>
      <c r="C1632" s="105">
        <v>45825</v>
      </c>
      <c r="D1632" s="12" t="s">
        <v>1060</v>
      </c>
      <c r="E1632" s="67"/>
      <c r="F1632" s="12" t="s">
        <v>4186</v>
      </c>
      <c r="G1632" s="98"/>
      <c r="H1632" s="67"/>
      <c r="I1632" s="71"/>
      <c r="J1632" s="72">
        <v>347.5</v>
      </c>
      <c r="K1632" s="88" t="s">
        <v>17</v>
      </c>
      <c r="L1632" s="73"/>
      <c r="M1632" s="11" t="s">
        <v>31</v>
      </c>
    </row>
    <row r="1633" spans="2:13" ht="15" customHeight="1" x14ac:dyDescent="0.25">
      <c r="B1633" s="45" t="s">
        <v>4187</v>
      </c>
      <c r="C1633" s="105">
        <v>45825</v>
      </c>
      <c r="D1633" s="12" t="s">
        <v>3726</v>
      </c>
      <c r="E1633" s="67"/>
      <c r="F1633" s="12" t="s">
        <v>1431</v>
      </c>
      <c r="G1633" s="98"/>
      <c r="H1633" s="67"/>
      <c r="I1633" s="71"/>
      <c r="J1633" s="72">
        <v>15910</v>
      </c>
      <c r="K1633" s="88" t="s">
        <v>1874</v>
      </c>
      <c r="L1633" s="73"/>
      <c r="M1633" s="11" t="s">
        <v>18</v>
      </c>
    </row>
    <row r="1634" spans="2:13" ht="15" customHeight="1" x14ac:dyDescent="0.25">
      <c r="B1634" s="45" t="s">
        <v>4188</v>
      </c>
      <c r="C1634" s="105">
        <v>45825</v>
      </c>
      <c r="D1634" s="102" t="s">
        <v>3440</v>
      </c>
      <c r="E1634" s="67"/>
      <c r="F1634" s="102" t="s">
        <v>4189</v>
      </c>
      <c r="G1634" s="98"/>
      <c r="H1634" s="67"/>
      <c r="I1634" s="71"/>
      <c r="J1634" s="72">
        <v>1918.75</v>
      </c>
      <c r="K1634" s="88" t="s">
        <v>1874</v>
      </c>
      <c r="L1634" s="73"/>
      <c r="M1634" s="11" t="s">
        <v>18</v>
      </c>
    </row>
    <row r="1635" spans="2:13" ht="15" customHeight="1" x14ac:dyDescent="0.25">
      <c r="B1635" s="45" t="s">
        <v>4190</v>
      </c>
      <c r="C1635" s="105">
        <v>45826</v>
      </c>
      <c r="D1635" s="12" t="s">
        <v>211</v>
      </c>
      <c r="E1635" s="67"/>
      <c r="F1635" s="12" t="s">
        <v>4191</v>
      </c>
      <c r="G1635" s="98"/>
      <c r="H1635" s="67"/>
      <c r="I1635" s="71"/>
      <c r="J1635" s="72">
        <v>18200</v>
      </c>
      <c r="K1635" s="88" t="s">
        <v>17</v>
      </c>
      <c r="L1635" s="73"/>
      <c r="M1635" s="11" t="s">
        <v>18</v>
      </c>
    </row>
    <row r="1636" spans="2:13" ht="15" customHeight="1" x14ac:dyDescent="0.25">
      <c r="B1636" s="45" t="s">
        <v>4192</v>
      </c>
      <c r="C1636" s="105">
        <v>45826</v>
      </c>
      <c r="D1636" s="102" t="s">
        <v>503</v>
      </c>
      <c r="E1636" s="67"/>
      <c r="F1636" s="102" t="s">
        <v>1728</v>
      </c>
      <c r="G1636" s="98"/>
      <c r="H1636" s="67"/>
      <c r="I1636" s="71"/>
      <c r="J1636" s="72">
        <v>235</v>
      </c>
      <c r="K1636" s="88" t="s">
        <v>17</v>
      </c>
      <c r="L1636" s="73"/>
      <c r="M1636" s="11" t="s">
        <v>18</v>
      </c>
    </row>
    <row r="1637" spans="2:13" ht="15" customHeight="1" x14ac:dyDescent="0.25">
      <c r="B1637" s="45" t="s">
        <v>4193</v>
      </c>
      <c r="C1637" s="105">
        <v>45826</v>
      </c>
      <c r="D1637" s="12" t="s">
        <v>211</v>
      </c>
      <c r="E1637" s="67"/>
      <c r="F1637" s="12" t="s">
        <v>4194</v>
      </c>
      <c r="G1637" s="98"/>
      <c r="H1637" s="67"/>
      <c r="I1637" s="71"/>
      <c r="J1637" s="72">
        <v>295</v>
      </c>
      <c r="K1637" s="88" t="s">
        <v>17</v>
      </c>
      <c r="L1637" s="73"/>
      <c r="M1637" s="11" t="s">
        <v>3698</v>
      </c>
    </row>
    <row r="1638" spans="2:13" ht="15" customHeight="1" x14ac:dyDescent="0.25">
      <c r="B1638" s="45" t="s">
        <v>4195</v>
      </c>
      <c r="C1638" s="105">
        <v>45827</v>
      </c>
      <c r="D1638" s="12" t="s">
        <v>3092</v>
      </c>
      <c r="E1638" s="67"/>
      <c r="F1638" s="12" t="s">
        <v>4196</v>
      </c>
      <c r="G1638" s="98"/>
      <c r="H1638" s="67"/>
      <c r="I1638" s="71"/>
      <c r="J1638" s="72">
        <v>4800</v>
      </c>
      <c r="K1638" s="88" t="s">
        <v>3625</v>
      </c>
      <c r="L1638" s="73"/>
      <c r="M1638" s="11" t="s">
        <v>31</v>
      </c>
    </row>
    <row r="1639" spans="2:13" ht="15" customHeight="1" x14ac:dyDescent="0.25">
      <c r="B1639" s="45" t="s">
        <v>4197</v>
      </c>
      <c r="C1639" s="105">
        <v>45828</v>
      </c>
      <c r="D1639" s="12" t="s">
        <v>3440</v>
      </c>
      <c r="E1639" s="67"/>
      <c r="F1639" s="12" t="s">
        <v>4198</v>
      </c>
      <c r="G1639" s="98"/>
      <c r="H1639" s="67"/>
      <c r="I1639" s="71"/>
      <c r="J1639" s="72">
        <v>5960.5</v>
      </c>
      <c r="K1639" s="88" t="s">
        <v>1874</v>
      </c>
      <c r="L1639" s="73"/>
      <c r="M1639" s="11" t="s">
        <v>18</v>
      </c>
    </row>
    <row r="1640" spans="2:13" ht="15" customHeight="1" x14ac:dyDescent="0.25">
      <c r="B1640" s="45" t="s">
        <v>4199</v>
      </c>
      <c r="C1640" s="105">
        <v>45828</v>
      </c>
      <c r="D1640" s="12" t="s">
        <v>3440</v>
      </c>
      <c r="E1640" s="67"/>
      <c r="F1640" s="12" t="s">
        <v>4200</v>
      </c>
      <c r="G1640" s="98"/>
      <c r="H1640" s="67"/>
      <c r="I1640" s="71"/>
      <c r="J1640" s="72">
        <v>1417.5</v>
      </c>
      <c r="K1640" s="88" t="s">
        <v>1874</v>
      </c>
      <c r="L1640" s="73"/>
      <c r="M1640" s="11" t="s">
        <v>18</v>
      </c>
    </row>
    <row r="1641" spans="2:13" ht="15" customHeight="1" x14ac:dyDescent="0.25">
      <c r="B1641" s="45" t="s">
        <v>4201</v>
      </c>
      <c r="C1641" s="105">
        <v>45827</v>
      </c>
      <c r="D1641" s="12" t="s">
        <v>4202</v>
      </c>
      <c r="E1641" s="67"/>
      <c r="F1641" s="12" t="s">
        <v>1348</v>
      </c>
      <c r="G1641" s="98"/>
      <c r="H1641" s="67"/>
      <c r="I1641" s="71"/>
      <c r="J1641" s="72">
        <v>1275</v>
      </c>
      <c r="K1641" s="88" t="s">
        <v>1874</v>
      </c>
      <c r="L1641" s="73"/>
      <c r="M1641" s="11" t="s">
        <v>18</v>
      </c>
    </row>
    <row r="1642" spans="2:13" ht="15" customHeight="1" x14ac:dyDescent="0.25">
      <c r="B1642" s="45" t="s">
        <v>4203</v>
      </c>
      <c r="C1642" s="105">
        <v>45828</v>
      </c>
      <c r="D1642" t="s">
        <v>154</v>
      </c>
      <c r="E1642" s="67"/>
      <c r="F1642" s="12" t="s">
        <v>4204</v>
      </c>
      <c r="G1642" s="98"/>
      <c r="H1642" s="67"/>
      <c r="I1642" s="71"/>
      <c r="J1642" s="72">
        <v>38.1</v>
      </c>
      <c r="K1642" s="88" t="s">
        <v>4105</v>
      </c>
      <c r="L1642" s="73"/>
      <c r="M1642" s="11" t="s">
        <v>31</v>
      </c>
    </row>
    <row r="1643" spans="2:13" ht="15" customHeight="1" x14ac:dyDescent="0.25">
      <c r="B1643" s="45" t="s">
        <v>4205</v>
      </c>
      <c r="C1643" s="105">
        <v>45828</v>
      </c>
      <c r="D1643" s="102" t="s">
        <v>4206</v>
      </c>
      <c r="E1643" s="67"/>
      <c r="F1643" s="102" t="s">
        <v>4207</v>
      </c>
      <c r="G1643" s="98"/>
      <c r="H1643" s="67"/>
      <c r="I1643" s="71"/>
      <c r="J1643" s="72">
        <v>7850</v>
      </c>
      <c r="K1643" s="88" t="s">
        <v>1874</v>
      </c>
      <c r="L1643" s="73"/>
      <c r="M1643" s="11" t="s">
        <v>18</v>
      </c>
    </row>
    <row r="1644" spans="2:13" ht="15" customHeight="1" x14ac:dyDescent="0.25">
      <c r="B1644" s="45" t="s">
        <v>4208</v>
      </c>
      <c r="C1644" s="105">
        <v>45828</v>
      </c>
      <c r="D1644" s="12" t="s">
        <v>211</v>
      </c>
      <c r="E1644" s="67"/>
      <c r="F1644" s="12" t="s">
        <v>4209</v>
      </c>
      <c r="G1644" s="98"/>
      <c r="H1644" s="67"/>
      <c r="I1644" s="71"/>
      <c r="J1644" s="72">
        <v>13250</v>
      </c>
      <c r="K1644" s="88" t="s">
        <v>17</v>
      </c>
      <c r="L1644" s="73"/>
      <c r="M1644" s="11" t="s">
        <v>3698</v>
      </c>
    </row>
    <row r="1645" spans="2:13" ht="15" customHeight="1" x14ac:dyDescent="0.25">
      <c r="B1645" s="45" t="s">
        <v>4210</v>
      </c>
      <c r="C1645" s="105">
        <v>45828</v>
      </c>
      <c r="D1645" s="12" t="s">
        <v>654</v>
      </c>
      <c r="E1645" s="67"/>
      <c r="F1645" s="12" t="s">
        <v>120</v>
      </c>
      <c r="G1645" s="98"/>
      <c r="H1645" s="67"/>
      <c r="I1645" s="71"/>
      <c r="J1645" s="72">
        <v>1995</v>
      </c>
      <c r="K1645" s="88" t="s">
        <v>17</v>
      </c>
      <c r="L1645" s="73"/>
      <c r="M1645" s="11" t="s">
        <v>31</v>
      </c>
    </row>
    <row r="1646" spans="2:13" ht="15" customHeight="1" x14ac:dyDescent="0.25">
      <c r="B1646" s="45" t="s">
        <v>4211</v>
      </c>
      <c r="C1646" s="105">
        <v>45832</v>
      </c>
      <c r="D1646" s="12" t="s">
        <v>211</v>
      </c>
      <c r="E1646" s="67"/>
      <c r="F1646" s="12" t="s">
        <v>3061</v>
      </c>
      <c r="G1646" s="98"/>
      <c r="H1646" s="67"/>
      <c r="I1646" s="71"/>
      <c r="J1646" s="72">
        <v>6225</v>
      </c>
      <c r="K1646" s="88" t="s">
        <v>17</v>
      </c>
      <c r="L1646" s="73"/>
      <c r="M1646" s="11" t="s">
        <v>18</v>
      </c>
    </row>
    <row r="1647" spans="2:13" ht="15" customHeight="1" x14ac:dyDescent="0.25">
      <c r="B1647" s="45" t="s">
        <v>4212</v>
      </c>
      <c r="C1647" s="105">
        <v>45840</v>
      </c>
      <c r="D1647" s="102" t="s">
        <v>4213</v>
      </c>
      <c r="E1647" s="67"/>
      <c r="F1647" s="102" t="s">
        <v>932</v>
      </c>
      <c r="G1647" s="98"/>
      <c r="H1647" s="67"/>
      <c r="I1647" s="71"/>
      <c r="J1647" s="72">
        <v>330</v>
      </c>
      <c r="K1647" s="88" t="s">
        <v>1874</v>
      </c>
      <c r="L1647" s="73"/>
      <c r="M1647" s="11" t="s">
        <v>31</v>
      </c>
    </row>
    <row r="1648" spans="2:13" ht="15" customHeight="1" x14ac:dyDescent="0.25">
      <c r="B1648" s="45" t="s">
        <v>4214</v>
      </c>
      <c r="C1648" s="105">
        <v>45832</v>
      </c>
      <c r="D1648" s="12" t="s">
        <v>211</v>
      </c>
      <c r="E1648" s="67"/>
      <c r="F1648" s="12" t="s">
        <v>932</v>
      </c>
      <c r="G1648" s="98"/>
      <c r="H1648" s="67"/>
      <c r="I1648" s="71"/>
      <c r="J1648" s="72">
        <v>80</v>
      </c>
      <c r="K1648" s="88" t="s">
        <v>17</v>
      </c>
      <c r="L1648" s="73"/>
      <c r="M1648" s="11" t="s">
        <v>31</v>
      </c>
    </row>
    <row r="1649" spans="2:13" ht="15" customHeight="1" x14ac:dyDescent="0.25">
      <c r="B1649" s="45" t="s">
        <v>4215</v>
      </c>
      <c r="C1649" s="105">
        <v>45831</v>
      </c>
      <c r="D1649" s="12" t="s">
        <v>4216</v>
      </c>
      <c r="E1649" s="67"/>
      <c r="F1649" s="12" t="s">
        <v>2908</v>
      </c>
      <c r="G1649" s="98"/>
      <c r="H1649" s="67"/>
      <c r="I1649" s="71"/>
      <c r="J1649" s="72">
        <v>1020</v>
      </c>
      <c r="K1649" s="88" t="s">
        <v>17</v>
      </c>
      <c r="L1649" s="73"/>
      <c r="M1649" s="11" t="s">
        <v>18</v>
      </c>
    </row>
    <row r="1650" spans="2:13" x14ac:dyDescent="0.25">
      <c r="B1650" s="45" t="s">
        <v>4217</v>
      </c>
      <c r="C1650" s="105">
        <v>45832</v>
      </c>
      <c r="D1650" s="102" t="s">
        <v>27</v>
      </c>
      <c r="E1650" s="67"/>
      <c r="F1650" s="102" t="s">
        <v>4218</v>
      </c>
      <c r="G1650" s="98"/>
      <c r="H1650" s="67"/>
      <c r="I1650" s="71"/>
      <c r="J1650" s="72">
        <v>2790</v>
      </c>
      <c r="K1650" s="88" t="s">
        <v>17</v>
      </c>
      <c r="L1650" s="73"/>
      <c r="M1650" s="11" t="s">
        <v>31</v>
      </c>
    </row>
    <row r="1651" spans="2:13" ht="15" customHeight="1" x14ac:dyDescent="0.25">
      <c r="B1651" s="45" t="s">
        <v>4219</v>
      </c>
      <c r="C1651" s="105">
        <v>45832</v>
      </c>
      <c r="D1651" s="12" t="s">
        <v>3675</v>
      </c>
      <c r="E1651" s="67"/>
      <c r="F1651" s="12" t="s">
        <v>120</v>
      </c>
      <c r="G1651" s="98"/>
      <c r="H1651" s="67"/>
      <c r="I1651" s="71"/>
      <c r="J1651" s="72">
        <v>3850</v>
      </c>
      <c r="K1651" s="88" t="s">
        <v>1874</v>
      </c>
      <c r="L1651" s="73"/>
      <c r="M1651" s="11" t="s">
        <v>3698</v>
      </c>
    </row>
    <row r="1652" spans="2:13" ht="15" customHeight="1" x14ac:dyDescent="0.25">
      <c r="B1652" s="45" t="s">
        <v>4220</v>
      </c>
      <c r="C1652" s="105">
        <v>45833</v>
      </c>
      <c r="D1652" s="12" t="s">
        <v>1907</v>
      </c>
      <c r="E1652" s="67"/>
      <c r="F1652" s="12" t="s">
        <v>1247</v>
      </c>
      <c r="G1652" s="98"/>
      <c r="H1652" s="67"/>
      <c r="I1652" s="71"/>
      <c r="J1652" s="72">
        <v>470</v>
      </c>
      <c r="K1652" s="88" t="s">
        <v>17</v>
      </c>
      <c r="L1652" s="73"/>
      <c r="M1652" s="11" t="s">
        <v>31</v>
      </c>
    </row>
    <row r="1653" spans="2:13" ht="0.75" customHeight="1" x14ac:dyDescent="0.25">
      <c r="B1653" s="45" t="s">
        <v>4221</v>
      </c>
      <c r="C1653" s="105">
        <v>45833</v>
      </c>
      <c r="D1653" s="102" t="s">
        <v>4222</v>
      </c>
      <c r="E1653" s="67"/>
      <c r="F1653" s="102" t="s">
        <v>4223</v>
      </c>
      <c r="G1653" s="98"/>
      <c r="H1653" s="67"/>
      <c r="I1653" s="71"/>
      <c r="J1653" s="72">
        <v>11000</v>
      </c>
      <c r="K1653" s="88" t="s">
        <v>1874</v>
      </c>
      <c r="L1653" s="73"/>
      <c r="M1653" s="11" t="s">
        <v>18</v>
      </c>
    </row>
    <row r="1654" spans="2:13" ht="15" customHeight="1" x14ac:dyDescent="0.25">
      <c r="B1654" s="45" t="s">
        <v>4224</v>
      </c>
      <c r="C1654" s="105">
        <v>45838</v>
      </c>
      <c r="D1654" s="12" t="s">
        <v>4225</v>
      </c>
      <c r="E1654" s="67"/>
      <c r="F1654" s="12" t="s">
        <v>4226</v>
      </c>
      <c r="G1654" s="98"/>
      <c r="H1654" s="67"/>
      <c r="I1654" s="71"/>
      <c r="J1654" s="72">
        <v>250</v>
      </c>
      <c r="K1654" s="88" t="s">
        <v>17</v>
      </c>
      <c r="L1654" s="73"/>
      <c r="M1654" s="11" t="s">
        <v>3698</v>
      </c>
    </row>
    <row r="1655" spans="2:13" ht="15" customHeight="1" x14ac:dyDescent="0.25">
      <c r="B1655" s="45" t="s">
        <v>4227</v>
      </c>
      <c r="C1655" s="105">
        <v>45838</v>
      </c>
      <c r="D1655" s="102" t="s">
        <v>4228</v>
      </c>
      <c r="E1655" s="67"/>
      <c r="F1655" s="102" t="s">
        <v>4229</v>
      </c>
      <c r="G1655" s="98"/>
      <c r="H1655" s="67"/>
      <c r="I1655" s="71"/>
      <c r="J1655" s="72">
        <v>2110</v>
      </c>
      <c r="K1655" s="88" t="s">
        <v>1874</v>
      </c>
      <c r="L1655" s="73"/>
      <c r="M1655" s="11" t="s">
        <v>31</v>
      </c>
    </row>
    <row r="1656" spans="2:13" ht="15" customHeight="1" x14ac:dyDescent="0.25">
      <c r="B1656" s="45" t="s">
        <v>4230</v>
      </c>
      <c r="C1656" s="105">
        <v>45838</v>
      </c>
      <c r="D1656" s="12" t="s">
        <v>27</v>
      </c>
      <c r="E1656" s="67"/>
      <c r="F1656" s="12" t="s">
        <v>4231</v>
      </c>
      <c r="G1656" s="98"/>
      <c r="H1656" s="67"/>
      <c r="I1656" s="71"/>
      <c r="J1656" s="72">
        <v>1075</v>
      </c>
      <c r="K1656" s="88" t="s">
        <v>17</v>
      </c>
      <c r="L1656" s="73"/>
      <c r="M1656" s="11" t="s">
        <v>3698</v>
      </c>
    </row>
    <row r="1657" spans="2:13" ht="15" customHeight="1" x14ac:dyDescent="0.25">
      <c r="B1657" s="45" t="s">
        <v>4232</v>
      </c>
      <c r="C1657" s="105">
        <v>45839</v>
      </c>
      <c r="D1657" s="12" t="s">
        <v>1347</v>
      </c>
      <c r="E1657" s="67"/>
      <c r="F1657" s="12" t="s">
        <v>1348</v>
      </c>
      <c r="G1657" s="98"/>
      <c r="H1657" s="67"/>
      <c r="I1657" s="71"/>
      <c r="J1657" s="72">
        <v>4150</v>
      </c>
      <c r="K1657" s="88" t="s">
        <v>3625</v>
      </c>
      <c r="L1657" s="73"/>
      <c r="M1657" s="11" t="s">
        <v>31</v>
      </c>
    </row>
    <row r="1658" spans="2:13" ht="15" customHeight="1" x14ac:dyDescent="0.25">
      <c r="B1658" s="45" t="s">
        <v>4233</v>
      </c>
      <c r="C1658" s="105">
        <v>45839</v>
      </c>
      <c r="D1658" s="12" t="s">
        <v>211</v>
      </c>
      <c r="E1658" s="67"/>
      <c r="F1658" s="12" t="s">
        <v>2308</v>
      </c>
      <c r="G1658" s="98"/>
      <c r="H1658" s="67"/>
      <c r="I1658" s="71"/>
      <c r="J1658" s="72">
        <v>6475</v>
      </c>
      <c r="K1658" s="88" t="s">
        <v>17</v>
      </c>
      <c r="L1658" s="73"/>
      <c r="M1658" s="11" t="s">
        <v>31</v>
      </c>
    </row>
    <row r="1659" spans="2:13" ht="15" customHeight="1" x14ac:dyDescent="0.25">
      <c r="B1659" s="45" t="s">
        <v>4234</v>
      </c>
      <c r="C1659" s="105">
        <v>45839</v>
      </c>
      <c r="D1659" s="12" t="s">
        <v>3575</v>
      </c>
      <c r="E1659" s="67"/>
      <c r="F1659" s="12" t="s">
        <v>1044</v>
      </c>
      <c r="G1659" s="98"/>
      <c r="H1659" s="67"/>
      <c r="I1659" s="71"/>
      <c r="J1659" s="72">
        <v>9895</v>
      </c>
      <c r="K1659" s="88" t="s">
        <v>17</v>
      </c>
      <c r="L1659" s="73"/>
      <c r="M1659" s="11" t="s">
        <v>18</v>
      </c>
    </row>
    <row r="1660" spans="2:13" ht="15" customHeight="1" x14ac:dyDescent="0.25">
      <c r="B1660" s="45" t="s">
        <v>4235</v>
      </c>
      <c r="C1660" s="105">
        <v>45840</v>
      </c>
      <c r="D1660" s="12" t="s">
        <v>463</v>
      </c>
      <c r="E1660" s="67"/>
      <c r="F1660" s="12" t="s">
        <v>4236</v>
      </c>
      <c r="G1660" s="98"/>
      <c r="H1660" s="67"/>
      <c r="I1660" s="71"/>
      <c r="J1660" s="72">
        <v>250</v>
      </c>
      <c r="K1660" s="88" t="s">
        <v>17</v>
      </c>
      <c r="L1660" s="73"/>
      <c r="M1660" s="11" t="s">
        <v>31</v>
      </c>
    </row>
    <row r="1661" spans="2:13" ht="15" customHeight="1" x14ac:dyDescent="0.25">
      <c r="B1661" s="45" t="s">
        <v>4237</v>
      </c>
      <c r="C1661" s="105">
        <v>45840</v>
      </c>
      <c r="D1661" s="12" t="s">
        <v>3291</v>
      </c>
      <c r="E1661" s="67"/>
      <c r="F1661" s="12" t="s">
        <v>4231</v>
      </c>
      <c r="G1661" s="98"/>
      <c r="H1661" s="67"/>
      <c r="I1661" s="71"/>
      <c r="J1661" s="72">
        <v>1192.5</v>
      </c>
      <c r="K1661" s="88" t="s">
        <v>1874</v>
      </c>
      <c r="L1661" s="73"/>
      <c r="M1661" s="11" t="s">
        <v>18</v>
      </c>
    </row>
    <row r="1662" spans="2:13" ht="15" customHeight="1" x14ac:dyDescent="0.25">
      <c r="B1662" s="45" t="s">
        <v>4238</v>
      </c>
      <c r="C1662" s="105">
        <v>45841</v>
      </c>
      <c r="D1662" t="s">
        <v>1060</v>
      </c>
      <c r="E1662" s="67"/>
      <c r="F1662" s="102" t="s">
        <v>4239</v>
      </c>
      <c r="G1662" s="98"/>
      <c r="H1662" s="67"/>
      <c r="I1662" s="71"/>
      <c r="J1662" s="72">
        <v>632.5</v>
      </c>
      <c r="K1662" s="88" t="s">
        <v>17</v>
      </c>
      <c r="L1662" s="73"/>
      <c r="M1662" s="11" t="s">
        <v>31</v>
      </c>
    </row>
    <row r="1663" spans="2:13" ht="15" customHeight="1" x14ac:dyDescent="0.25">
      <c r="B1663" s="45" t="s">
        <v>4240</v>
      </c>
      <c r="C1663" s="105">
        <v>45841</v>
      </c>
      <c r="D1663" s="12" t="s">
        <v>27</v>
      </c>
      <c r="E1663" s="67"/>
      <c r="F1663" s="12" t="s">
        <v>4241</v>
      </c>
      <c r="G1663" s="98"/>
      <c r="H1663" s="67"/>
      <c r="I1663" s="71"/>
      <c r="J1663" s="72">
        <v>545</v>
      </c>
      <c r="K1663" s="88" t="s">
        <v>17</v>
      </c>
      <c r="L1663" s="73"/>
      <c r="M1663" s="11" t="s">
        <v>3698</v>
      </c>
    </row>
    <row r="1664" spans="2:13" ht="15" customHeight="1" x14ac:dyDescent="0.25">
      <c r="B1664" s="45" t="s">
        <v>4242</v>
      </c>
      <c r="C1664" s="105">
        <v>45841</v>
      </c>
      <c r="D1664" s="12" t="s">
        <v>639</v>
      </c>
      <c r="E1664" s="67"/>
      <c r="F1664" s="12" t="s">
        <v>889</v>
      </c>
      <c r="G1664" s="98"/>
      <c r="H1664" s="67"/>
      <c r="I1664" s="71"/>
      <c r="J1664" s="72">
        <v>3160.5</v>
      </c>
      <c r="K1664" s="88" t="s">
        <v>17</v>
      </c>
      <c r="L1664" s="73"/>
      <c r="M1664" s="11" t="s">
        <v>18</v>
      </c>
    </row>
    <row r="1665" spans="2:13" ht="15" customHeight="1" x14ac:dyDescent="0.25">
      <c r="B1665" s="45" t="s">
        <v>4243</v>
      </c>
      <c r="C1665" s="105">
        <v>45842</v>
      </c>
      <c r="D1665" s="12" t="s">
        <v>574</v>
      </c>
      <c r="E1665" s="67"/>
      <c r="F1665" s="12" t="s">
        <v>4244</v>
      </c>
      <c r="G1665" s="98"/>
      <c r="H1665" s="67"/>
      <c r="I1665" s="71"/>
      <c r="J1665" s="72">
        <v>16800</v>
      </c>
      <c r="K1665" s="88" t="s">
        <v>17</v>
      </c>
      <c r="L1665" s="73"/>
      <c r="M1665" s="11" t="s">
        <v>3698</v>
      </c>
    </row>
    <row r="1666" spans="2:13" ht="15" customHeight="1" x14ac:dyDescent="0.25">
      <c r="B1666" s="45" t="s">
        <v>4245</v>
      </c>
      <c r="C1666" s="105">
        <v>45842</v>
      </c>
      <c r="D1666" s="12" t="s">
        <v>463</v>
      </c>
      <c r="E1666" s="67"/>
      <c r="F1666" s="12" t="s">
        <v>4246</v>
      </c>
      <c r="G1666" s="98"/>
      <c r="H1666" s="67"/>
      <c r="I1666" s="71"/>
      <c r="J1666" s="72">
        <v>1850</v>
      </c>
      <c r="K1666" s="88" t="s">
        <v>17</v>
      </c>
      <c r="L1666" s="73"/>
      <c r="M1666" s="11" t="s">
        <v>3698</v>
      </c>
    </row>
    <row r="1667" spans="2:13" ht="15" customHeight="1" x14ac:dyDescent="0.25">
      <c r="B1667" s="45" t="s">
        <v>4247</v>
      </c>
      <c r="C1667" s="105">
        <v>45845</v>
      </c>
      <c r="D1667" s="12" t="s">
        <v>4228</v>
      </c>
      <c r="E1667" s="67"/>
      <c r="F1667" s="12" t="s">
        <v>4248</v>
      </c>
      <c r="G1667" s="98"/>
      <c r="H1667" s="67"/>
      <c r="I1667" s="71"/>
      <c r="J1667" s="72">
        <v>19250</v>
      </c>
      <c r="K1667" s="88" t="s">
        <v>1874</v>
      </c>
      <c r="L1667" s="73"/>
      <c r="M1667" s="11" t="s">
        <v>18</v>
      </c>
    </row>
    <row r="1668" spans="2:13" ht="15" customHeight="1" x14ac:dyDescent="0.25">
      <c r="B1668" s="45" t="s">
        <v>4249</v>
      </c>
      <c r="C1668" s="105">
        <v>45846</v>
      </c>
      <c r="D1668" t="s">
        <v>115</v>
      </c>
      <c r="E1668" s="67"/>
      <c r="F1668" s="102" t="s">
        <v>4250</v>
      </c>
      <c r="G1668" s="98"/>
      <c r="H1668" s="67"/>
      <c r="I1668" s="71"/>
      <c r="J1668" s="72">
        <v>1250</v>
      </c>
      <c r="K1668" s="88" t="s">
        <v>1794</v>
      </c>
      <c r="L1668" s="73"/>
      <c r="M1668" s="11" t="s">
        <v>31</v>
      </c>
    </row>
    <row r="1669" spans="2:13" ht="15" customHeight="1" x14ac:dyDescent="0.25">
      <c r="B1669" s="45" t="s">
        <v>4251</v>
      </c>
      <c r="C1669" s="105">
        <v>45849</v>
      </c>
      <c r="D1669" s="12" t="s">
        <v>574</v>
      </c>
      <c r="E1669" s="67"/>
      <c r="F1669" s="12" t="s">
        <v>4252</v>
      </c>
      <c r="G1669" s="98"/>
      <c r="H1669" s="67"/>
      <c r="I1669" s="71"/>
      <c r="J1669" s="72">
        <v>6920</v>
      </c>
      <c r="K1669" s="88" t="s">
        <v>17</v>
      </c>
      <c r="L1669" s="73"/>
      <c r="M1669" s="11" t="s">
        <v>3698</v>
      </c>
    </row>
    <row r="1670" spans="2:13" ht="15" customHeight="1" x14ac:dyDescent="0.25">
      <c r="B1670" s="45" t="s">
        <v>4253</v>
      </c>
      <c r="C1670" s="105">
        <v>45846</v>
      </c>
      <c r="D1670" s="102" t="s">
        <v>3851</v>
      </c>
      <c r="E1670" s="67"/>
      <c r="F1670" s="102" t="s">
        <v>4254</v>
      </c>
      <c r="G1670" s="98"/>
      <c r="H1670" s="67"/>
      <c r="I1670" s="71"/>
      <c r="J1670" s="72">
        <v>3055</v>
      </c>
      <c r="K1670" s="88" t="s">
        <v>17</v>
      </c>
      <c r="L1670" s="73"/>
      <c r="M1670" s="11" t="s">
        <v>18</v>
      </c>
    </row>
    <row r="1671" spans="2:13" ht="15" customHeight="1" x14ac:dyDescent="0.25">
      <c r="B1671" s="45" t="s">
        <v>4255</v>
      </c>
      <c r="C1671" s="105">
        <v>45846</v>
      </c>
      <c r="D1671" s="12" t="s">
        <v>3908</v>
      </c>
      <c r="E1671" s="67"/>
      <c r="F1671" s="12" t="s">
        <v>4256</v>
      </c>
      <c r="G1671" s="98"/>
      <c r="H1671" s="67"/>
      <c r="I1671" s="71"/>
      <c r="J1671" s="72">
        <v>18040</v>
      </c>
      <c r="K1671" s="88" t="s">
        <v>17</v>
      </c>
      <c r="L1671" s="73"/>
      <c r="M1671" s="11" t="s">
        <v>18</v>
      </c>
    </row>
    <row r="1672" spans="2:13" ht="15" customHeight="1" x14ac:dyDescent="0.25">
      <c r="B1672" s="45" t="s">
        <v>4257</v>
      </c>
      <c r="C1672" s="105">
        <v>45847</v>
      </c>
      <c r="D1672" s="12" t="s">
        <v>27</v>
      </c>
      <c r="E1672" s="67"/>
      <c r="F1672" s="12" t="s">
        <v>4258</v>
      </c>
      <c r="G1672" s="98"/>
      <c r="H1672" s="67"/>
      <c r="I1672" s="71"/>
      <c r="J1672" s="72">
        <v>1720</v>
      </c>
      <c r="K1672" s="88" t="s">
        <v>17</v>
      </c>
      <c r="L1672" s="73"/>
      <c r="M1672" s="11" t="s">
        <v>31</v>
      </c>
    </row>
    <row r="1673" spans="2:13" ht="15" customHeight="1" x14ac:dyDescent="0.25">
      <c r="B1673" s="45" t="s">
        <v>4259</v>
      </c>
      <c r="C1673" s="105">
        <v>45849</v>
      </c>
      <c r="D1673" s="102" t="s">
        <v>27</v>
      </c>
      <c r="E1673" s="67"/>
      <c r="F1673" s="102" t="s">
        <v>4260</v>
      </c>
      <c r="G1673" s="98"/>
      <c r="H1673" s="67"/>
      <c r="I1673" s="71"/>
      <c r="J1673" s="72">
        <v>25.75</v>
      </c>
      <c r="K1673" s="88" t="s">
        <v>17</v>
      </c>
      <c r="L1673" s="73"/>
      <c r="M1673" s="11" t="s">
        <v>31</v>
      </c>
    </row>
    <row r="1674" spans="2:13" ht="15" customHeight="1" x14ac:dyDescent="0.25">
      <c r="B1674" s="45" t="s">
        <v>4261</v>
      </c>
      <c r="C1674" s="105">
        <v>45847</v>
      </c>
      <c r="D1674" s="12" t="s">
        <v>211</v>
      </c>
      <c r="E1674" s="67"/>
      <c r="F1674" s="12" t="s">
        <v>4262</v>
      </c>
      <c r="G1674" s="98"/>
      <c r="H1674" s="67"/>
      <c r="I1674" s="71"/>
      <c r="J1674" s="72">
        <v>5690</v>
      </c>
      <c r="K1674" s="88" t="s">
        <v>17</v>
      </c>
      <c r="L1674" s="73"/>
      <c r="M1674" s="11" t="s">
        <v>3698</v>
      </c>
    </row>
    <row r="1675" spans="2:13" ht="15" customHeight="1" x14ac:dyDescent="0.25">
      <c r="B1675" s="45" t="s">
        <v>4263</v>
      </c>
      <c r="C1675" s="105">
        <v>45848</v>
      </c>
      <c r="D1675" s="12" t="s">
        <v>4264</v>
      </c>
      <c r="E1675" s="67"/>
      <c r="F1675" s="12" t="s">
        <v>4265</v>
      </c>
      <c r="G1675" s="98"/>
      <c r="H1675" s="67"/>
      <c r="I1675" s="71"/>
      <c r="J1675" s="72">
        <v>500</v>
      </c>
      <c r="K1675" s="88" t="s">
        <v>461</v>
      </c>
      <c r="L1675" s="73"/>
      <c r="M1675" s="11" t="s">
        <v>18</v>
      </c>
    </row>
    <row r="1676" spans="2:13" ht="15" customHeight="1" x14ac:dyDescent="0.25">
      <c r="B1676" s="45" t="s">
        <v>4266</v>
      </c>
      <c r="C1676" s="105">
        <v>45848</v>
      </c>
      <c r="D1676" s="102" t="s">
        <v>211</v>
      </c>
      <c r="E1676" s="67"/>
      <c r="F1676" t="s">
        <v>4267</v>
      </c>
      <c r="G1676" s="98"/>
      <c r="H1676" s="67"/>
      <c r="I1676" s="71"/>
      <c r="J1676" s="72">
        <v>645</v>
      </c>
      <c r="K1676" s="88" t="s">
        <v>17</v>
      </c>
      <c r="L1676" s="73"/>
      <c r="M1676" s="11" t="s">
        <v>31</v>
      </c>
    </row>
    <row r="1677" spans="2:13" ht="15" customHeight="1" x14ac:dyDescent="0.25">
      <c r="B1677" s="45" t="s">
        <v>4268</v>
      </c>
      <c r="C1677" s="105">
        <v>45849</v>
      </c>
      <c r="D1677" s="12" t="s">
        <v>211</v>
      </c>
      <c r="E1677" s="67"/>
      <c r="F1677" s="12" t="s">
        <v>4269</v>
      </c>
      <c r="G1677" s="98"/>
      <c r="H1677" s="67"/>
      <c r="I1677" s="71"/>
      <c r="J1677" s="72">
        <v>4500</v>
      </c>
      <c r="K1677" s="88" t="s">
        <v>17</v>
      </c>
      <c r="L1677" s="73"/>
      <c r="M1677" s="11" t="s">
        <v>3698</v>
      </c>
    </row>
    <row r="1678" spans="2:13" ht="15" customHeight="1" x14ac:dyDescent="0.25">
      <c r="B1678" s="45" t="s">
        <v>4270</v>
      </c>
      <c r="C1678" s="105">
        <v>45849</v>
      </c>
      <c r="D1678" s="12" t="s">
        <v>4030</v>
      </c>
      <c r="E1678" s="67"/>
      <c r="F1678" s="12" t="s">
        <v>4271</v>
      </c>
      <c r="G1678" s="98"/>
      <c r="H1678" s="67"/>
      <c r="I1678" s="71"/>
      <c r="J1678" s="72">
        <v>525</v>
      </c>
      <c r="K1678" s="88" t="s">
        <v>1874</v>
      </c>
      <c r="L1678" s="73"/>
      <c r="M1678" s="11" t="s">
        <v>31</v>
      </c>
    </row>
    <row r="1679" spans="2:13" ht="15" customHeight="1" x14ac:dyDescent="0.25">
      <c r="B1679" s="45" t="s">
        <v>4272</v>
      </c>
      <c r="C1679" s="105">
        <v>45852</v>
      </c>
      <c r="D1679" s="102" t="s">
        <v>27</v>
      </c>
      <c r="E1679" s="67"/>
      <c r="F1679" t="s">
        <v>4273</v>
      </c>
      <c r="G1679" s="98"/>
      <c r="H1679" s="67"/>
      <c r="I1679" s="71"/>
      <c r="J1679" s="72">
        <v>476.1</v>
      </c>
      <c r="K1679" s="88" t="s">
        <v>17</v>
      </c>
      <c r="L1679" s="73"/>
      <c r="M1679" s="11" t="s">
        <v>31</v>
      </c>
    </row>
    <row r="1680" spans="2:13" ht="15" customHeight="1" x14ac:dyDescent="0.25">
      <c r="B1680" s="45" t="s">
        <v>4274</v>
      </c>
      <c r="C1680" s="105">
        <v>45853</v>
      </c>
      <c r="D1680" s="12" t="s">
        <v>241</v>
      </c>
      <c r="E1680" s="67"/>
      <c r="F1680" s="12" t="s">
        <v>4160</v>
      </c>
      <c r="G1680" s="98"/>
      <c r="H1680" s="67"/>
      <c r="I1680" s="71"/>
      <c r="J1680" s="72">
        <v>760</v>
      </c>
      <c r="K1680" s="88" t="s">
        <v>17</v>
      </c>
      <c r="L1680" s="73"/>
      <c r="M1680" s="11" t="s">
        <v>31</v>
      </c>
    </row>
    <row r="1681" spans="2:13" ht="15" customHeight="1" x14ac:dyDescent="0.25">
      <c r="B1681" s="45" t="s">
        <v>4275</v>
      </c>
      <c r="C1681" s="105">
        <v>45853</v>
      </c>
      <c r="D1681" s="12" t="s">
        <v>4276</v>
      </c>
      <c r="E1681" s="67"/>
      <c r="F1681" s="12" t="s">
        <v>4277</v>
      </c>
      <c r="G1681" s="98"/>
      <c r="H1681" s="67"/>
      <c r="I1681" s="71"/>
      <c r="J1681" s="72">
        <v>27000</v>
      </c>
      <c r="K1681" s="88" t="s">
        <v>3625</v>
      </c>
      <c r="L1681" s="73"/>
      <c r="M1681" s="11" t="s">
        <v>18</v>
      </c>
    </row>
    <row r="1682" spans="2:13" ht="15" customHeight="1" x14ac:dyDescent="0.25">
      <c r="B1682" s="45" t="s">
        <v>4278</v>
      </c>
      <c r="C1682" s="105">
        <v>45853</v>
      </c>
      <c r="D1682" s="12" t="s">
        <v>4279</v>
      </c>
      <c r="E1682" s="67"/>
      <c r="F1682" s="12" t="s">
        <v>4280</v>
      </c>
      <c r="G1682" s="98"/>
      <c r="H1682" s="67"/>
      <c r="I1682" s="71"/>
      <c r="J1682" s="72">
        <v>350</v>
      </c>
      <c r="K1682" s="88" t="s">
        <v>17</v>
      </c>
      <c r="L1682" s="73"/>
      <c r="M1682" s="11" t="s">
        <v>18</v>
      </c>
    </row>
    <row r="1683" spans="2:13" ht="15" customHeight="1" x14ac:dyDescent="0.25">
      <c r="B1683" s="45" t="s">
        <v>4281</v>
      </c>
      <c r="C1683" s="105">
        <v>45856</v>
      </c>
      <c r="D1683" s="12" t="s">
        <v>3068</v>
      </c>
      <c r="E1683" s="67"/>
      <c r="F1683" s="12" t="s">
        <v>4007</v>
      </c>
      <c r="G1683" s="98"/>
      <c r="H1683" s="67"/>
      <c r="I1683" s="71"/>
      <c r="J1683" s="72">
        <v>3465</v>
      </c>
      <c r="K1683" s="88" t="s">
        <v>17</v>
      </c>
      <c r="L1683" s="73"/>
      <c r="M1683" s="11" t="s">
        <v>18</v>
      </c>
    </row>
    <row r="1684" spans="2:13" ht="15" customHeight="1" x14ac:dyDescent="0.25">
      <c r="B1684" s="45" t="s">
        <v>4282</v>
      </c>
      <c r="C1684" s="105">
        <v>45855</v>
      </c>
      <c r="D1684" s="12" t="s">
        <v>241</v>
      </c>
      <c r="E1684" s="67"/>
      <c r="F1684" s="12" t="s">
        <v>4283</v>
      </c>
      <c r="G1684" s="98"/>
      <c r="H1684" s="67"/>
      <c r="I1684" s="71"/>
      <c r="J1684" s="72">
        <v>405</v>
      </c>
      <c r="K1684" s="88" t="s">
        <v>17</v>
      </c>
      <c r="L1684" s="73"/>
      <c r="M1684" s="11" t="s">
        <v>31</v>
      </c>
    </row>
    <row r="1685" spans="2:13" ht="15" customHeight="1" x14ac:dyDescent="0.25">
      <c r="B1685" s="45" t="s">
        <v>4284</v>
      </c>
      <c r="C1685" s="105">
        <v>45855</v>
      </c>
      <c r="D1685" s="12" t="s">
        <v>3068</v>
      </c>
      <c r="E1685" s="67"/>
      <c r="F1685" s="12" t="s">
        <v>4285</v>
      </c>
      <c r="G1685" s="98"/>
      <c r="H1685" s="67"/>
      <c r="I1685" s="71"/>
      <c r="J1685" s="72">
        <v>1735</v>
      </c>
      <c r="K1685" s="88" t="s">
        <v>17</v>
      </c>
      <c r="L1685" s="73"/>
      <c r="M1685" s="11" t="s">
        <v>18</v>
      </c>
    </row>
    <row r="1686" spans="2:13" ht="15" customHeight="1" x14ac:dyDescent="0.25">
      <c r="B1686" s="45" t="s">
        <v>4286</v>
      </c>
      <c r="C1686" s="105">
        <v>45856</v>
      </c>
      <c r="D1686" s="12" t="s">
        <v>4287</v>
      </c>
      <c r="E1686" s="67"/>
      <c r="F1686" s="12" t="s">
        <v>4288</v>
      </c>
      <c r="G1686" s="98"/>
      <c r="H1686" s="67"/>
      <c r="I1686" s="71"/>
      <c r="J1686" s="72">
        <v>8837.5</v>
      </c>
      <c r="K1686" s="88" t="s">
        <v>3625</v>
      </c>
      <c r="L1686" s="73"/>
      <c r="M1686" s="11" t="s">
        <v>3341</v>
      </c>
    </row>
    <row r="1687" spans="2:13" ht="15" customHeight="1" x14ac:dyDescent="0.25">
      <c r="B1687" s="45" t="s">
        <v>4289</v>
      </c>
      <c r="C1687" s="105">
        <v>45859</v>
      </c>
      <c r="D1687" s="102" t="s">
        <v>3469</v>
      </c>
      <c r="E1687" s="67"/>
      <c r="F1687" s="102" t="s">
        <v>4290</v>
      </c>
      <c r="G1687" s="98"/>
      <c r="H1687" s="67"/>
      <c r="I1687" s="71"/>
      <c r="J1687" s="72">
        <v>285</v>
      </c>
      <c r="K1687" s="88" t="s">
        <v>17</v>
      </c>
      <c r="L1687" s="73"/>
      <c r="M1687" s="11" t="s">
        <v>31</v>
      </c>
    </row>
    <row r="1688" spans="2:13" ht="15" customHeight="1" x14ac:dyDescent="0.25">
      <c r="B1688" s="45" t="s">
        <v>4291</v>
      </c>
      <c r="C1688" s="105">
        <v>45860</v>
      </c>
      <c r="D1688" s="12" t="s">
        <v>44</v>
      </c>
      <c r="E1688" s="67"/>
      <c r="F1688" s="12" t="s">
        <v>904</v>
      </c>
      <c r="G1688" s="98"/>
      <c r="H1688" s="67"/>
      <c r="I1688" s="71"/>
      <c r="J1688" s="72">
        <v>2775</v>
      </c>
      <c r="K1688" s="88" t="s">
        <v>17</v>
      </c>
      <c r="L1688" s="73"/>
      <c r="M1688" s="11" t="s">
        <v>31</v>
      </c>
    </row>
    <row r="1689" spans="2:13" ht="15" customHeight="1" x14ac:dyDescent="0.25">
      <c r="B1689" s="45" t="s">
        <v>4292</v>
      </c>
      <c r="C1689" s="105">
        <v>45861</v>
      </c>
      <c r="D1689" s="12" t="s">
        <v>4293</v>
      </c>
      <c r="E1689" s="67"/>
      <c r="F1689" s="12" t="s">
        <v>3482</v>
      </c>
      <c r="G1689" s="98"/>
      <c r="H1689" s="67"/>
      <c r="I1689" s="71"/>
      <c r="J1689" s="72">
        <v>2955</v>
      </c>
      <c r="K1689" s="88" t="s">
        <v>17</v>
      </c>
      <c r="L1689" s="73"/>
      <c r="M1689" s="11" t="s">
        <v>31</v>
      </c>
    </row>
    <row r="1690" spans="2:13" ht="15" customHeight="1" x14ac:dyDescent="0.25">
      <c r="B1690" s="45" t="s">
        <v>4294</v>
      </c>
      <c r="C1690" s="105">
        <v>45861</v>
      </c>
      <c r="D1690" s="12" t="s">
        <v>4295</v>
      </c>
      <c r="E1690" s="67"/>
      <c r="F1690" s="12" t="s">
        <v>4296</v>
      </c>
      <c r="G1690" s="98"/>
      <c r="H1690" s="67"/>
      <c r="I1690" s="71"/>
      <c r="J1690" s="72">
        <v>2942.5</v>
      </c>
      <c r="K1690" s="88" t="s">
        <v>17</v>
      </c>
      <c r="L1690" s="73"/>
      <c r="M1690" s="11" t="s">
        <v>3698</v>
      </c>
    </row>
    <row r="1691" spans="2:13" ht="15" customHeight="1" x14ac:dyDescent="0.25">
      <c r="B1691" s="45" t="s">
        <v>4297</v>
      </c>
      <c r="C1691" s="105">
        <v>45861</v>
      </c>
      <c r="D1691" s="12" t="s">
        <v>44</v>
      </c>
      <c r="E1691" s="67"/>
      <c r="F1691" s="12" t="s">
        <v>4298</v>
      </c>
      <c r="G1691" s="98"/>
      <c r="H1691" s="67"/>
      <c r="I1691" s="71"/>
      <c r="J1691" s="72">
        <v>1085</v>
      </c>
      <c r="K1691" s="88" t="s">
        <v>17</v>
      </c>
      <c r="L1691" s="73"/>
      <c r="M1691" s="11" t="s">
        <v>3698</v>
      </c>
    </row>
    <row r="1692" spans="2:13" ht="15" customHeight="1" x14ac:dyDescent="0.25">
      <c r="B1692" s="45" t="s">
        <v>4299</v>
      </c>
      <c r="C1692" s="105">
        <v>45862</v>
      </c>
      <c r="D1692" s="12" t="s">
        <v>4300</v>
      </c>
      <c r="E1692" s="67"/>
      <c r="F1692" s="12" t="s">
        <v>4301</v>
      </c>
      <c r="G1692" s="98"/>
      <c r="H1692" s="67"/>
      <c r="I1692" s="71"/>
      <c r="J1692" s="72">
        <v>565</v>
      </c>
      <c r="K1692" s="88" t="s">
        <v>17</v>
      </c>
      <c r="L1692" s="73"/>
      <c r="M1692" s="11" t="s">
        <v>3698</v>
      </c>
    </row>
    <row r="1693" spans="2:13" ht="15" customHeight="1" x14ac:dyDescent="0.25">
      <c r="B1693" s="45" t="s">
        <v>4302</v>
      </c>
      <c r="C1693" s="120">
        <v>45862</v>
      </c>
      <c r="D1693" s="12" t="s">
        <v>4303</v>
      </c>
      <c r="E1693" s="150"/>
      <c r="F1693" s="12" t="s">
        <v>1247</v>
      </c>
      <c r="G1693" s="98"/>
      <c r="H1693" s="67"/>
      <c r="I1693" s="71"/>
      <c r="J1693" s="72">
        <v>385</v>
      </c>
      <c r="K1693" s="88" t="s">
        <v>1874</v>
      </c>
      <c r="L1693" s="73"/>
      <c r="M1693" s="11" t="s">
        <v>3698</v>
      </c>
    </row>
    <row r="1694" spans="2:13" ht="15" customHeight="1" x14ac:dyDescent="0.25">
      <c r="B1694" s="45" t="s">
        <v>4304</v>
      </c>
      <c r="C1694" s="120">
        <v>45932</v>
      </c>
      <c r="D1694" s="12" t="s">
        <v>2731</v>
      </c>
      <c r="E1694" s="150"/>
      <c r="F1694" s="12" t="s">
        <v>4305</v>
      </c>
      <c r="G1694" s="98"/>
      <c r="H1694" s="67"/>
      <c r="I1694" s="71"/>
      <c r="J1694" s="72">
        <v>780</v>
      </c>
      <c r="K1694" s="88" t="s">
        <v>17</v>
      </c>
      <c r="L1694" s="73"/>
      <c r="M1694" s="11" t="s">
        <v>31</v>
      </c>
    </row>
    <row r="1695" spans="2:13" ht="15" customHeight="1" x14ac:dyDescent="0.25">
      <c r="B1695" s="45" t="s">
        <v>4306</v>
      </c>
      <c r="C1695" s="120">
        <v>45862</v>
      </c>
      <c r="D1695" s="12" t="s">
        <v>4225</v>
      </c>
      <c r="E1695" s="150"/>
      <c r="F1695" s="12" t="s">
        <v>4307</v>
      </c>
      <c r="G1695" s="98"/>
      <c r="H1695" s="67"/>
      <c r="I1695" s="71"/>
      <c r="J1695" s="72">
        <v>3450</v>
      </c>
      <c r="K1695" s="88" t="s">
        <v>17</v>
      </c>
      <c r="L1695" s="73"/>
      <c r="M1695" s="11" t="s">
        <v>31</v>
      </c>
    </row>
    <row r="1696" spans="2:13" ht="15" customHeight="1" x14ac:dyDescent="0.25">
      <c r="B1696" s="45" t="s">
        <v>4308</v>
      </c>
      <c r="C1696" s="105">
        <v>45863</v>
      </c>
      <c r="D1696" s="12" t="s">
        <v>564</v>
      </c>
      <c r="E1696" s="67"/>
      <c r="F1696" s="12" t="s">
        <v>4309</v>
      </c>
      <c r="G1696" s="98"/>
      <c r="H1696" s="67"/>
      <c r="I1696" s="71"/>
      <c r="J1696" s="72">
        <v>1292</v>
      </c>
      <c r="K1696" s="88" t="s">
        <v>17</v>
      </c>
      <c r="L1696" s="73"/>
      <c r="M1696" s="11" t="s">
        <v>31</v>
      </c>
    </row>
    <row r="1697" spans="2:13" ht="15" customHeight="1" x14ac:dyDescent="0.25">
      <c r="B1697" s="45" t="s">
        <v>4310</v>
      </c>
      <c r="C1697" s="120">
        <v>45863</v>
      </c>
      <c r="D1697" s="12" t="s">
        <v>3469</v>
      </c>
      <c r="E1697" s="150"/>
      <c r="F1697" s="12" t="s">
        <v>4311</v>
      </c>
      <c r="G1697" s="98"/>
      <c r="H1697" s="67"/>
      <c r="I1697" s="71"/>
      <c r="J1697" s="72">
        <v>1255</v>
      </c>
      <c r="K1697" s="88" t="s">
        <v>17</v>
      </c>
      <c r="L1697" s="73"/>
      <c r="M1697" s="11" t="s">
        <v>3698</v>
      </c>
    </row>
    <row r="1698" spans="2:13" ht="15" customHeight="1" x14ac:dyDescent="0.25">
      <c r="B1698" s="45" t="s">
        <v>4312</v>
      </c>
      <c r="C1698" s="120">
        <v>45863</v>
      </c>
      <c r="D1698" s="12" t="s">
        <v>426</v>
      </c>
      <c r="E1698" s="150"/>
      <c r="F1698" s="12" t="s">
        <v>4313</v>
      </c>
      <c r="G1698" s="98"/>
      <c r="H1698" s="67"/>
      <c r="I1698" s="71"/>
      <c r="J1698" s="72">
        <v>19000</v>
      </c>
      <c r="K1698" s="88" t="s">
        <v>17</v>
      </c>
      <c r="L1698" s="73"/>
      <c r="M1698" s="11" t="s">
        <v>18</v>
      </c>
    </row>
    <row r="1699" spans="2:13" ht="15" customHeight="1" x14ac:dyDescent="0.25">
      <c r="B1699" s="45" t="s">
        <v>4314</v>
      </c>
      <c r="C1699" s="105">
        <v>45863</v>
      </c>
      <c r="D1699" s="12" t="s">
        <v>4009</v>
      </c>
      <c r="E1699" s="67"/>
      <c r="F1699" s="12" t="s">
        <v>4315</v>
      </c>
      <c r="G1699" s="98"/>
      <c r="H1699" s="67"/>
      <c r="I1699" s="71"/>
      <c r="J1699" s="72">
        <v>600</v>
      </c>
      <c r="K1699" s="88" t="s">
        <v>17</v>
      </c>
      <c r="L1699" s="73"/>
      <c r="M1699" s="11" t="s">
        <v>31</v>
      </c>
    </row>
    <row r="1700" spans="2:13" ht="15" customHeight="1" x14ac:dyDescent="0.25">
      <c r="B1700" s="45" t="s">
        <v>4316</v>
      </c>
      <c r="C1700" s="120">
        <v>45866</v>
      </c>
      <c r="D1700" s="12" t="s">
        <v>4317</v>
      </c>
      <c r="E1700" s="150"/>
      <c r="F1700" s="12" t="s">
        <v>1044</v>
      </c>
      <c r="G1700" s="98"/>
      <c r="H1700" s="67"/>
      <c r="I1700" s="71"/>
      <c r="J1700" s="72">
        <v>1150</v>
      </c>
      <c r="K1700" s="88" t="s">
        <v>1874</v>
      </c>
      <c r="L1700" s="73"/>
      <c r="M1700" s="11" t="s">
        <v>3698</v>
      </c>
    </row>
    <row r="1701" spans="2:13" ht="15" customHeight="1" x14ac:dyDescent="0.25">
      <c r="B1701" s="45" t="s">
        <v>4318</v>
      </c>
      <c r="C1701" s="120">
        <v>45867</v>
      </c>
      <c r="D1701" s="12" t="s">
        <v>463</v>
      </c>
      <c r="E1701" s="67"/>
      <c r="F1701" s="12" t="s">
        <v>4319</v>
      </c>
      <c r="G1701" s="98"/>
      <c r="H1701" s="67"/>
      <c r="I1701" s="71"/>
      <c r="J1701" s="72">
        <v>235</v>
      </c>
      <c r="K1701" s="88" t="s">
        <v>17</v>
      </c>
      <c r="L1701" s="73"/>
      <c r="M1701" s="11" t="s">
        <v>31</v>
      </c>
    </row>
    <row r="1702" spans="2:13" ht="15" customHeight="1" x14ac:dyDescent="0.25">
      <c r="B1702" s="45" t="s">
        <v>4320</v>
      </c>
      <c r="C1702" s="120">
        <v>45866</v>
      </c>
      <c r="D1702" s="12" t="s">
        <v>1060</v>
      </c>
      <c r="E1702" s="67"/>
      <c r="F1702" s="12" t="s">
        <v>4321</v>
      </c>
      <c r="G1702" s="98"/>
      <c r="H1702" s="67"/>
      <c r="I1702" s="71"/>
      <c r="J1702" s="72">
        <v>610</v>
      </c>
      <c r="K1702" s="88" t="s">
        <v>17</v>
      </c>
      <c r="L1702" s="73"/>
      <c r="M1702" s="11" t="s">
        <v>31</v>
      </c>
    </row>
    <row r="1703" spans="2:13" ht="15" customHeight="1" x14ac:dyDescent="0.25">
      <c r="B1703" s="45" t="s">
        <v>4322</v>
      </c>
      <c r="C1703" s="120">
        <v>45867</v>
      </c>
      <c r="D1703" s="12" t="s">
        <v>3623</v>
      </c>
      <c r="E1703" s="67"/>
      <c r="F1703" s="12" t="s">
        <v>4323</v>
      </c>
      <c r="G1703" s="98"/>
      <c r="H1703" s="67"/>
      <c r="I1703" s="71"/>
      <c r="J1703" s="72">
        <v>101000</v>
      </c>
      <c r="K1703" s="88" t="s">
        <v>3625</v>
      </c>
      <c r="L1703" s="73"/>
      <c r="M1703" s="11" t="s">
        <v>3341</v>
      </c>
    </row>
    <row r="1704" spans="2:13" ht="15" customHeight="1" x14ac:dyDescent="0.25">
      <c r="B1704" s="45" t="s">
        <v>4324</v>
      </c>
      <c r="C1704" s="120">
        <v>45867</v>
      </c>
      <c r="D1704" s="12" t="s">
        <v>142</v>
      </c>
      <c r="E1704" s="150"/>
      <c r="F1704" s="12" t="s">
        <v>197</v>
      </c>
      <c r="G1704" s="98"/>
      <c r="H1704" s="67"/>
      <c r="I1704" s="71"/>
      <c r="J1704" s="72">
        <v>730</v>
      </c>
      <c r="K1704" s="88" t="s">
        <v>17</v>
      </c>
      <c r="L1704" s="73"/>
      <c r="M1704" s="11" t="s">
        <v>31</v>
      </c>
    </row>
    <row r="1705" spans="2:13" ht="15" customHeight="1" x14ac:dyDescent="0.25">
      <c r="B1705" s="45" t="s">
        <v>4325</v>
      </c>
      <c r="C1705" s="120">
        <v>45867</v>
      </c>
      <c r="D1705" s="12" t="s">
        <v>1060</v>
      </c>
      <c r="E1705" s="150"/>
      <c r="F1705" s="12" t="s">
        <v>4326</v>
      </c>
      <c r="G1705" s="98"/>
      <c r="H1705" s="67"/>
      <c r="I1705" s="71"/>
      <c r="J1705" s="72">
        <v>370</v>
      </c>
      <c r="K1705" s="88" t="s">
        <v>17</v>
      </c>
      <c r="L1705" s="73"/>
      <c r="M1705" s="11" t="s">
        <v>3698</v>
      </c>
    </row>
    <row r="1706" spans="2:13" ht="15" customHeight="1" x14ac:dyDescent="0.25">
      <c r="B1706" s="45" t="s">
        <v>4327</v>
      </c>
      <c r="C1706" s="120">
        <v>45867</v>
      </c>
      <c r="D1706" t="s">
        <v>115</v>
      </c>
      <c r="E1706" s="67"/>
      <c r="F1706" t="s">
        <v>4328</v>
      </c>
      <c r="G1706" s="98"/>
      <c r="H1706" s="67"/>
      <c r="I1706" s="71"/>
      <c r="J1706" s="72">
        <v>800</v>
      </c>
      <c r="K1706" s="88" t="s">
        <v>3261</v>
      </c>
      <c r="L1706" s="73"/>
      <c r="M1706" s="11" t="s">
        <v>31</v>
      </c>
    </row>
    <row r="1707" spans="2:13" ht="15" customHeight="1" x14ac:dyDescent="0.25">
      <c r="B1707" s="45" t="s">
        <v>4329</v>
      </c>
      <c r="C1707" s="120">
        <v>45868</v>
      </c>
      <c r="D1707" s="12" t="s">
        <v>4330</v>
      </c>
      <c r="E1707" s="67"/>
      <c r="F1707" s="12" t="s">
        <v>4331</v>
      </c>
      <c r="G1707" s="98"/>
      <c r="H1707" s="67"/>
      <c r="I1707" s="71"/>
      <c r="J1707" s="72">
        <v>333.5</v>
      </c>
      <c r="K1707" s="88" t="s">
        <v>3261</v>
      </c>
      <c r="L1707" s="73"/>
      <c r="M1707" s="11" t="s">
        <v>31</v>
      </c>
    </row>
    <row r="1708" spans="2:13" ht="15" customHeight="1" x14ac:dyDescent="0.25">
      <c r="B1708" s="45" t="s">
        <v>4332</v>
      </c>
      <c r="C1708" s="120">
        <v>45868</v>
      </c>
      <c r="D1708" s="12" t="s">
        <v>2638</v>
      </c>
      <c r="E1708" s="150"/>
      <c r="F1708" s="12" t="s">
        <v>3938</v>
      </c>
      <c r="G1708" s="98"/>
      <c r="H1708" s="67"/>
      <c r="I1708" s="71"/>
      <c r="J1708" s="72">
        <v>687.5</v>
      </c>
      <c r="K1708" s="88" t="s">
        <v>3625</v>
      </c>
      <c r="L1708" s="73"/>
      <c r="M1708" s="11" t="s">
        <v>18</v>
      </c>
    </row>
    <row r="1709" spans="2:13" ht="15" customHeight="1" x14ac:dyDescent="0.25">
      <c r="B1709" s="45" t="s">
        <v>4333</v>
      </c>
      <c r="C1709" s="120">
        <v>45869</v>
      </c>
      <c r="D1709" s="12" t="s">
        <v>211</v>
      </c>
      <c r="E1709" s="150"/>
      <c r="F1709" s="12" t="s">
        <v>4334</v>
      </c>
      <c r="G1709" s="98"/>
      <c r="H1709" s="67"/>
      <c r="I1709" s="71"/>
      <c r="J1709" s="72">
        <v>250</v>
      </c>
      <c r="K1709" s="88" t="s">
        <v>17</v>
      </c>
      <c r="L1709" s="73"/>
      <c r="M1709" s="11" t="s">
        <v>3698</v>
      </c>
    </row>
    <row r="1710" spans="2:13" ht="15" customHeight="1" x14ac:dyDescent="0.25">
      <c r="B1710" s="45" t="s">
        <v>4335</v>
      </c>
      <c r="C1710" s="120">
        <v>45869</v>
      </c>
      <c r="D1710" s="12" t="s">
        <v>4336</v>
      </c>
      <c r="E1710" s="150"/>
      <c r="F1710" s="12" t="s">
        <v>4337</v>
      </c>
      <c r="G1710" s="98"/>
      <c r="H1710" s="67"/>
      <c r="I1710" s="71"/>
      <c r="J1710" s="72">
        <v>9230</v>
      </c>
      <c r="K1710" s="88" t="s">
        <v>17</v>
      </c>
      <c r="L1710" s="73"/>
      <c r="M1710" s="11" t="s">
        <v>3698</v>
      </c>
    </row>
    <row r="1711" spans="2:13" ht="15" customHeight="1" x14ac:dyDescent="0.25">
      <c r="B1711" s="151" t="s">
        <v>4338</v>
      </c>
      <c r="C1711" s="152">
        <v>45869</v>
      </c>
      <c r="D1711" s="153" t="s">
        <v>241</v>
      </c>
      <c r="E1711" s="150"/>
      <c r="F1711" s="153" t="s">
        <v>4339</v>
      </c>
      <c r="G1711" s="98"/>
      <c r="H1711" s="67"/>
      <c r="I1711" s="71"/>
      <c r="J1711" s="154">
        <v>3150</v>
      </c>
      <c r="K1711" s="155" t="s">
        <v>17</v>
      </c>
      <c r="L1711" s="73"/>
      <c r="M1711" s="156" t="s">
        <v>31</v>
      </c>
    </row>
    <row r="1712" spans="2:13" ht="15" customHeight="1" x14ac:dyDescent="0.25">
      <c r="B1712" s="45" t="s">
        <v>4340</v>
      </c>
      <c r="C1712" s="120">
        <v>45869</v>
      </c>
      <c r="D1712" s="12" t="s">
        <v>3416</v>
      </c>
      <c r="E1712" s="150"/>
      <c r="F1712" s="12" t="s">
        <v>4341</v>
      </c>
      <c r="G1712" s="98"/>
      <c r="H1712" s="67"/>
      <c r="I1712" s="71"/>
      <c r="J1712" s="72">
        <v>600</v>
      </c>
      <c r="K1712" s="88" t="s">
        <v>461</v>
      </c>
      <c r="L1712" s="73"/>
      <c r="M1712" s="11" t="s">
        <v>31</v>
      </c>
    </row>
    <row r="1713" spans="2:13" ht="15" customHeight="1" x14ac:dyDescent="0.25">
      <c r="B1713" s="45" t="s">
        <v>4342</v>
      </c>
      <c r="C1713" s="120">
        <v>45881</v>
      </c>
      <c r="D1713" s="12" t="s">
        <v>1188</v>
      </c>
      <c r="E1713" s="150"/>
      <c r="F1713" s="12" t="s">
        <v>3990</v>
      </c>
      <c r="G1713" s="98"/>
      <c r="H1713" s="67"/>
      <c r="I1713" s="71"/>
      <c r="J1713" s="72">
        <v>9812.5</v>
      </c>
      <c r="K1713" s="88" t="s">
        <v>3625</v>
      </c>
      <c r="L1713" s="73"/>
      <c r="M1713" s="11" t="s">
        <v>31</v>
      </c>
    </row>
    <row r="1714" spans="2:13" ht="15" customHeight="1" x14ac:dyDescent="0.25">
      <c r="B1714" s="45" t="s">
        <v>4343</v>
      </c>
      <c r="C1714" s="120">
        <v>45870</v>
      </c>
      <c r="D1714" s="23" t="s">
        <v>211</v>
      </c>
      <c r="E1714" s="150"/>
      <c r="F1714" s="23" t="s">
        <v>197</v>
      </c>
      <c r="G1714" s="98"/>
      <c r="H1714" s="67"/>
      <c r="I1714" s="157"/>
      <c r="J1714" s="13">
        <v>160</v>
      </c>
      <c r="K1714" s="20" t="s">
        <v>17</v>
      </c>
      <c r="L1714" s="73"/>
      <c r="M1714" s="11" t="s">
        <v>31</v>
      </c>
    </row>
    <row r="1715" spans="2:13" ht="15" customHeight="1" x14ac:dyDescent="0.25">
      <c r="B1715" s="45" t="s">
        <v>4344</v>
      </c>
      <c r="C1715" s="120">
        <v>45870</v>
      </c>
      <c r="D1715" s="12" t="s">
        <v>4345</v>
      </c>
      <c r="E1715" s="150"/>
      <c r="F1715" s="12" t="s">
        <v>4346</v>
      </c>
      <c r="G1715" s="98"/>
      <c r="H1715" s="67"/>
      <c r="I1715" s="71"/>
      <c r="J1715" s="72">
        <v>9550</v>
      </c>
      <c r="K1715" s="88" t="s">
        <v>3625</v>
      </c>
      <c r="L1715" s="73"/>
      <c r="M1715" s="11" t="s">
        <v>31</v>
      </c>
    </row>
    <row r="1716" spans="2:13" ht="15" customHeight="1" x14ac:dyDescent="0.25">
      <c r="B1716" s="45" t="s">
        <v>4347</v>
      </c>
      <c r="C1716" s="120">
        <v>45871</v>
      </c>
      <c r="D1716" s="12" t="s">
        <v>4348</v>
      </c>
      <c r="E1716" s="150"/>
      <c r="F1716" s="12" t="s">
        <v>2691</v>
      </c>
      <c r="G1716" s="98"/>
      <c r="H1716" s="67"/>
      <c r="I1716" s="71"/>
      <c r="J1716" s="72">
        <v>1410</v>
      </c>
      <c r="K1716" s="88" t="s">
        <v>1874</v>
      </c>
      <c r="L1716" s="73"/>
      <c r="M1716" s="11" t="s">
        <v>31</v>
      </c>
    </row>
    <row r="1717" spans="2:13" ht="15" customHeight="1" x14ac:dyDescent="0.25">
      <c r="B1717" s="45" t="s">
        <v>4349</v>
      </c>
      <c r="C1717" s="120">
        <v>45873</v>
      </c>
      <c r="D1717" s="12" t="s">
        <v>429</v>
      </c>
      <c r="E1717" s="150"/>
      <c r="F1717" s="12" t="s">
        <v>999</v>
      </c>
      <c r="G1717" s="98"/>
      <c r="H1717" s="67"/>
      <c r="I1717" s="71"/>
      <c r="J1717" s="72">
        <v>300</v>
      </c>
      <c r="K1717" s="88" t="s">
        <v>17</v>
      </c>
      <c r="L1717" s="73"/>
      <c r="M1717" s="11" t="s">
        <v>3698</v>
      </c>
    </row>
    <row r="1718" spans="2:13" ht="15" customHeight="1" x14ac:dyDescent="0.25">
      <c r="B1718" s="45" t="s">
        <v>4350</v>
      </c>
      <c r="C1718" s="120">
        <v>45874</v>
      </c>
      <c r="D1718" s="102" t="s">
        <v>27</v>
      </c>
      <c r="E1718" s="150"/>
      <c r="F1718" s="102" t="s">
        <v>4231</v>
      </c>
      <c r="G1718" s="98"/>
      <c r="H1718" s="67"/>
      <c r="I1718" s="71"/>
      <c r="J1718" s="72">
        <v>16720</v>
      </c>
      <c r="K1718" s="88" t="s">
        <v>17</v>
      </c>
      <c r="L1718" s="73"/>
      <c r="M1718" s="11" t="s">
        <v>31</v>
      </c>
    </row>
    <row r="1719" spans="2:13" ht="15" customHeight="1" x14ac:dyDescent="0.25">
      <c r="B1719" s="45" t="s">
        <v>4351</v>
      </c>
      <c r="C1719" s="120">
        <v>45873</v>
      </c>
      <c r="D1719" s="12" t="s">
        <v>211</v>
      </c>
      <c r="E1719" s="136"/>
      <c r="F1719" s="12" t="s">
        <v>22</v>
      </c>
      <c r="G1719" s="137"/>
      <c r="H1719" s="67"/>
      <c r="I1719" s="71"/>
      <c r="J1719" s="72">
        <v>160</v>
      </c>
      <c r="K1719" s="88" t="s">
        <v>17</v>
      </c>
      <c r="L1719" s="73"/>
      <c r="M1719" s="11" t="s">
        <v>31</v>
      </c>
    </row>
    <row r="1720" spans="2:13" ht="15" customHeight="1" x14ac:dyDescent="0.25">
      <c r="B1720" s="45" t="s">
        <v>4352</v>
      </c>
      <c r="C1720" s="120">
        <v>45873</v>
      </c>
      <c r="D1720" s="12" t="s">
        <v>4353</v>
      </c>
      <c r="E1720" s="136"/>
      <c r="F1720" s="12" t="s">
        <v>4354</v>
      </c>
      <c r="G1720" s="137"/>
      <c r="H1720" s="67"/>
      <c r="I1720" s="71"/>
      <c r="J1720" s="72">
        <v>1085</v>
      </c>
      <c r="K1720" s="88" t="s">
        <v>1874</v>
      </c>
      <c r="L1720" s="73"/>
      <c r="M1720" s="11" t="s">
        <v>3698</v>
      </c>
    </row>
    <row r="1721" spans="2:13" ht="15" customHeight="1" x14ac:dyDescent="0.25">
      <c r="B1721" s="45" t="s">
        <v>4355</v>
      </c>
      <c r="C1721" s="120">
        <v>45880</v>
      </c>
      <c r="D1721" s="12" t="s">
        <v>4356</v>
      </c>
      <c r="E1721" s="136"/>
      <c r="F1721" s="12" t="s">
        <v>4357</v>
      </c>
      <c r="G1721" s="137"/>
      <c r="H1721" s="67"/>
      <c r="I1721" s="71"/>
      <c r="J1721" s="72">
        <v>75</v>
      </c>
      <c r="K1721" s="88" t="s">
        <v>1874</v>
      </c>
      <c r="L1721" s="73"/>
      <c r="M1721" s="11" t="s">
        <v>31</v>
      </c>
    </row>
    <row r="1722" spans="2:13" ht="15" customHeight="1" x14ac:dyDescent="0.25">
      <c r="B1722" s="45" t="s">
        <v>4358</v>
      </c>
      <c r="C1722" s="120">
        <v>45874</v>
      </c>
      <c r="D1722" s="12" t="s">
        <v>3623</v>
      </c>
      <c r="E1722" s="136"/>
      <c r="F1722" t="s">
        <v>4359</v>
      </c>
      <c r="G1722" s="137"/>
      <c r="H1722" s="67"/>
      <c r="I1722" s="71"/>
      <c r="J1722" s="72">
        <v>87000</v>
      </c>
      <c r="K1722" s="88" t="s">
        <v>3625</v>
      </c>
      <c r="L1722" s="73"/>
      <c r="M1722" s="11" t="s">
        <v>18</v>
      </c>
    </row>
    <row r="1723" spans="2:13" ht="15" customHeight="1" x14ac:dyDescent="0.25">
      <c r="B1723" s="45" t="s">
        <v>4360</v>
      </c>
      <c r="C1723" s="120">
        <v>45874</v>
      </c>
      <c r="D1723" s="12" t="s">
        <v>4361</v>
      </c>
      <c r="E1723" s="136"/>
      <c r="F1723" s="12" t="s">
        <v>4362</v>
      </c>
      <c r="G1723" s="137"/>
      <c r="H1723" s="67"/>
      <c r="I1723" s="71"/>
      <c r="J1723" s="72">
        <v>36050</v>
      </c>
      <c r="K1723" s="88" t="s">
        <v>1874</v>
      </c>
      <c r="L1723" s="73"/>
      <c r="M1723" s="11" t="s">
        <v>18</v>
      </c>
    </row>
    <row r="1724" spans="2:13" ht="15" customHeight="1" x14ac:dyDescent="0.25">
      <c r="B1724" s="45" t="s">
        <v>4363</v>
      </c>
      <c r="C1724" s="120">
        <v>45875</v>
      </c>
      <c r="D1724" s="12" t="s">
        <v>3298</v>
      </c>
      <c r="E1724" s="136"/>
      <c r="F1724" s="12" t="s">
        <v>4364</v>
      </c>
      <c r="G1724" s="137"/>
      <c r="H1724" s="67"/>
      <c r="I1724" s="71"/>
      <c r="J1724" s="72">
        <v>195</v>
      </c>
      <c r="K1724" s="88" t="s">
        <v>17</v>
      </c>
      <c r="L1724" s="73"/>
      <c r="M1724" s="11" t="s">
        <v>3698</v>
      </c>
    </row>
    <row r="1725" spans="2:13" ht="15" customHeight="1" x14ac:dyDescent="0.25">
      <c r="B1725" s="45" t="s">
        <v>4365</v>
      </c>
      <c r="C1725" s="120">
        <v>45875</v>
      </c>
      <c r="D1725" s="12" t="s">
        <v>3593</v>
      </c>
      <c r="E1725" s="136"/>
      <c r="F1725" s="12" t="s">
        <v>4231</v>
      </c>
      <c r="G1725" s="137"/>
      <c r="H1725" s="67"/>
      <c r="I1725" s="71"/>
      <c r="J1725" s="72">
        <v>687.5</v>
      </c>
      <c r="K1725" s="88" t="s">
        <v>17</v>
      </c>
      <c r="L1725" s="73"/>
      <c r="M1725" s="11" t="s">
        <v>3698</v>
      </c>
    </row>
    <row r="1726" spans="2:13" ht="15" customHeight="1" x14ac:dyDescent="0.25">
      <c r="B1726" s="45" t="s">
        <v>4366</v>
      </c>
      <c r="C1726" s="120">
        <v>45875</v>
      </c>
      <c r="D1726" s="12" t="s">
        <v>4348</v>
      </c>
      <c r="E1726" s="136"/>
      <c r="F1726" s="12" t="s">
        <v>780</v>
      </c>
      <c r="G1726" s="137"/>
      <c r="H1726" s="67"/>
      <c r="I1726" s="71"/>
      <c r="J1726" s="72">
        <v>495</v>
      </c>
      <c r="K1726" s="88" t="s">
        <v>1874</v>
      </c>
      <c r="L1726" s="73"/>
      <c r="M1726" s="11" t="s">
        <v>31</v>
      </c>
    </row>
    <row r="1727" spans="2:13" ht="15" customHeight="1" x14ac:dyDescent="0.25">
      <c r="B1727" s="45" t="s">
        <v>4367</v>
      </c>
      <c r="C1727" s="120">
        <v>45875</v>
      </c>
      <c r="D1727" s="12" t="s">
        <v>463</v>
      </c>
      <c r="E1727" s="136"/>
      <c r="F1727" s="12" t="s">
        <v>2587</v>
      </c>
      <c r="G1727" s="137"/>
      <c r="H1727" s="67"/>
      <c r="I1727" s="71"/>
      <c r="J1727" s="72">
        <v>13100</v>
      </c>
      <c r="K1727" s="88" t="s">
        <v>17</v>
      </c>
      <c r="L1727" s="73"/>
      <c r="M1727" s="11" t="s">
        <v>18</v>
      </c>
    </row>
    <row r="1728" spans="2:13" ht="15" customHeight="1" x14ac:dyDescent="0.25">
      <c r="B1728" s="45" t="s">
        <v>4368</v>
      </c>
      <c r="C1728" s="120">
        <v>45876</v>
      </c>
      <c r="D1728" s="12" t="s">
        <v>4369</v>
      </c>
      <c r="E1728" s="136"/>
      <c r="F1728" s="12" t="s">
        <v>4370</v>
      </c>
      <c r="G1728" s="137"/>
      <c r="H1728" s="67"/>
      <c r="I1728" s="71"/>
      <c r="J1728" s="72">
        <v>2375</v>
      </c>
      <c r="K1728" s="88" t="s">
        <v>3625</v>
      </c>
      <c r="L1728" s="73"/>
      <c r="M1728" s="11" t="s">
        <v>31</v>
      </c>
    </row>
    <row r="1729" spans="2:13" ht="15" customHeight="1" x14ac:dyDescent="0.25">
      <c r="B1729" s="45" t="s">
        <v>4371</v>
      </c>
      <c r="C1729" s="120">
        <v>45876</v>
      </c>
      <c r="D1729" s="12" t="s">
        <v>574</v>
      </c>
      <c r="E1729" s="136"/>
      <c r="F1729" s="12" t="s">
        <v>4372</v>
      </c>
      <c r="G1729" s="137"/>
      <c r="H1729" s="67"/>
      <c r="I1729" s="71"/>
      <c r="J1729" s="72">
        <v>1125</v>
      </c>
      <c r="K1729" s="88" t="s">
        <v>17</v>
      </c>
      <c r="L1729" s="73"/>
      <c r="M1729" s="11" t="s">
        <v>31</v>
      </c>
    </row>
    <row r="1730" spans="2:13" ht="15" customHeight="1" x14ac:dyDescent="0.25">
      <c r="B1730" s="45" t="s">
        <v>4373</v>
      </c>
      <c r="C1730" s="120">
        <v>45876</v>
      </c>
      <c r="D1730" s="12" t="s">
        <v>1305</v>
      </c>
      <c r="E1730" s="136"/>
      <c r="F1730" s="12" t="s">
        <v>544</v>
      </c>
      <c r="G1730" s="137"/>
      <c r="H1730" s="67"/>
      <c r="I1730" s="71"/>
      <c r="J1730" s="72">
        <v>3500</v>
      </c>
      <c r="K1730" s="88" t="s">
        <v>17</v>
      </c>
      <c r="L1730" s="73"/>
      <c r="M1730" s="11" t="s">
        <v>18</v>
      </c>
    </row>
    <row r="1731" spans="2:13" ht="15" customHeight="1" x14ac:dyDescent="0.25">
      <c r="B1731" s="45" t="s">
        <v>4374</v>
      </c>
      <c r="C1731" s="120">
        <v>45877</v>
      </c>
      <c r="D1731" s="12" t="s">
        <v>574</v>
      </c>
      <c r="E1731" s="136"/>
      <c r="F1731" s="12" t="s">
        <v>4128</v>
      </c>
      <c r="G1731" s="137"/>
      <c r="H1731" s="67"/>
      <c r="I1731" s="71"/>
      <c r="J1731" s="72">
        <v>885</v>
      </c>
      <c r="K1731" s="88" t="s">
        <v>17</v>
      </c>
      <c r="L1731" s="73"/>
      <c r="M1731" s="11" t="s">
        <v>31</v>
      </c>
    </row>
    <row r="1732" spans="2:13" ht="15" customHeight="1" x14ac:dyDescent="0.25">
      <c r="B1732" s="45" t="s">
        <v>4375</v>
      </c>
      <c r="C1732" s="120">
        <v>45880</v>
      </c>
      <c r="D1732" s="12" t="s">
        <v>27</v>
      </c>
      <c r="E1732" s="136"/>
      <c r="F1732" s="12" t="s">
        <v>4376</v>
      </c>
      <c r="G1732" s="137"/>
      <c r="H1732" s="67"/>
      <c r="I1732" s="71"/>
      <c r="J1732" s="72">
        <v>25753.75</v>
      </c>
      <c r="K1732" s="88" t="s">
        <v>17</v>
      </c>
      <c r="L1732" s="73"/>
      <c r="M1732" s="11" t="s">
        <v>31</v>
      </c>
    </row>
    <row r="1733" spans="2:13" ht="15" customHeight="1" x14ac:dyDescent="0.25">
      <c r="B1733" s="45" t="s">
        <v>4377</v>
      </c>
      <c r="C1733" s="120">
        <v>45877</v>
      </c>
      <c r="D1733" s="12" t="s">
        <v>211</v>
      </c>
      <c r="E1733" s="136"/>
      <c r="F1733" s="12" t="s">
        <v>4378</v>
      </c>
      <c r="G1733" s="137"/>
      <c r="H1733" s="67"/>
      <c r="I1733" s="71"/>
      <c r="J1733" s="72">
        <v>775</v>
      </c>
      <c r="K1733" s="88" t="s">
        <v>17</v>
      </c>
      <c r="L1733" s="73"/>
      <c r="M1733" s="11" t="s">
        <v>31</v>
      </c>
    </row>
    <row r="1734" spans="2:13" ht="15" customHeight="1" x14ac:dyDescent="0.25">
      <c r="B1734" s="45" t="s">
        <v>4379</v>
      </c>
      <c r="C1734" s="120">
        <v>45881</v>
      </c>
      <c r="D1734" s="12" t="s">
        <v>3008</v>
      </c>
      <c r="E1734" s="136"/>
      <c r="F1734" s="12" t="s">
        <v>4380</v>
      </c>
      <c r="G1734" s="137"/>
      <c r="H1734" s="67"/>
      <c r="I1734" s="71"/>
      <c r="J1734" s="72">
        <v>975</v>
      </c>
      <c r="K1734" s="88" t="s">
        <v>1874</v>
      </c>
      <c r="L1734" s="73"/>
      <c r="M1734" s="11" t="s">
        <v>31</v>
      </c>
    </row>
    <row r="1735" spans="2:13" ht="15" customHeight="1" x14ac:dyDescent="0.25">
      <c r="B1735" s="45" t="s">
        <v>4381</v>
      </c>
      <c r="C1735" s="120">
        <v>45880</v>
      </c>
      <c r="D1735" s="12" t="s">
        <v>525</v>
      </c>
      <c r="E1735" s="136"/>
      <c r="F1735" s="12" t="s">
        <v>4382</v>
      </c>
      <c r="G1735" s="137"/>
      <c r="H1735" s="67"/>
      <c r="I1735" s="71"/>
      <c r="J1735" s="72">
        <v>20250</v>
      </c>
      <c r="K1735" s="88" t="s">
        <v>3625</v>
      </c>
      <c r="L1735" s="73"/>
      <c r="M1735" s="11" t="s">
        <v>3341</v>
      </c>
    </row>
    <row r="1736" spans="2:13" ht="15" customHeight="1" x14ac:dyDescent="0.25">
      <c r="B1736" s="45" t="s">
        <v>4383</v>
      </c>
      <c r="C1736" s="120">
        <v>45880</v>
      </c>
      <c r="D1736" s="12" t="s">
        <v>27</v>
      </c>
      <c r="E1736" s="136"/>
      <c r="F1736" s="12" t="s">
        <v>4384</v>
      </c>
      <c r="G1736" s="137"/>
      <c r="H1736" s="67"/>
      <c r="I1736" s="71"/>
      <c r="J1736" s="72">
        <v>8250</v>
      </c>
      <c r="K1736" s="88" t="s">
        <v>17</v>
      </c>
      <c r="L1736" s="73"/>
      <c r="M1736" s="11" t="s">
        <v>3341</v>
      </c>
    </row>
    <row r="1737" spans="2:13" ht="15" customHeight="1" x14ac:dyDescent="0.25">
      <c r="B1737" s="45" t="s">
        <v>4385</v>
      </c>
      <c r="C1737" s="120">
        <v>45880</v>
      </c>
      <c r="D1737" s="12" t="s">
        <v>4386</v>
      </c>
      <c r="E1737" s="136"/>
      <c r="F1737" s="12" t="s">
        <v>4387</v>
      </c>
      <c r="G1737" s="137"/>
      <c r="H1737" s="67"/>
      <c r="I1737" s="71"/>
      <c r="J1737" s="72">
        <v>310</v>
      </c>
      <c r="K1737" s="88" t="s">
        <v>3261</v>
      </c>
      <c r="L1737" s="73"/>
      <c r="M1737" s="11" t="s">
        <v>31</v>
      </c>
    </row>
    <row r="1738" spans="2:13" ht="15" customHeight="1" x14ac:dyDescent="0.25">
      <c r="B1738" s="45" t="s">
        <v>4388</v>
      </c>
      <c r="C1738" s="120">
        <v>45880</v>
      </c>
      <c r="D1738" s="12" t="s">
        <v>4369</v>
      </c>
      <c r="E1738" s="136"/>
      <c r="F1738" s="12" t="s">
        <v>4389</v>
      </c>
      <c r="G1738" s="137"/>
      <c r="H1738" s="67"/>
      <c r="I1738" s="71"/>
      <c r="J1738" s="72">
        <v>1400</v>
      </c>
      <c r="K1738" s="88" t="s">
        <v>3625</v>
      </c>
      <c r="L1738" s="73"/>
      <c r="M1738" s="11" t="s">
        <v>3341</v>
      </c>
    </row>
    <row r="1739" spans="2:13" ht="15" customHeight="1" x14ac:dyDescent="0.25">
      <c r="B1739" s="45" t="s">
        <v>4390</v>
      </c>
      <c r="C1739" s="120">
        <v>45880</v>
      </c>
      <c r="D1739" s="12" t="s">
        <v>211</v>
      </c>
      <c r="E1739" s="136"/>
      <c r="F1739" s="12" t="s">
        <v>4391</v>
      </c>
      <c r="G1739" s="137"/>
      <c r="H1739" s="67"/>
      <c r="I1739" s="71"/>
      <c r="J1739" s="72">
        <v>640</v>
      </c>
      <c r="K1739" s="88" t="s">
        <v>17</v>
      </c>
      <c r="L1739" s="73"/>
      <c r="M1739" s="11" t="s">
        <v>31</v>
      </c>
    </row>
    <row r="1740" spans="2:13" ht="15" customHeight="1" x14ac:dyDescent="0.25">
      <c r="B1740" s="45" t="s">
        <v>4392</v>
      </c>
      <c r="C1740" s="120">
        <v>45880</v>
      </c>
      <c r="D1740" s="12" t="s">
        <v>3189</v>
      </c>
      <c r="E1740" s="136"/>
      <c r="F1740" s="12" t="s">
        <v>4393</v>
      </c>
      <c r="G1740" s="137"/>
      <c r="H1740" s="67"/>
      <c r="I1740" s="71"/>
      <c r="J1740" s="72">
        <v>1887.5</v>
      </c>
      <c r="K1740" s="88" t="s">
        <v>3625</v>
      </c>
      <c r="L1740" s="73"/>
      <c r="M1740" s="11" t="s">
        <v>18</v>
      </c>
    </row>
    <row r="1741" spans="2:13" ht="15" customHeight="1" x14ac:dyDescent="0.25">
      <c r="B1741" s="45" t="s">
        <v>4394</v>
      </c>
      <c r="C1741" s="120">
        <v>45881</v>
      </c>
      <c r="D1741" s="12" t="s">
        <v>642</v>
      </c>
      <c r="E1741" s="136"/>
      <c r="F1741" s="12" t="s">
        <v>4395</v>
      </c>
      <c r="G1741" s="137"/>
      <c r="H1741" s="67"/>
      <c r="I1741" s="71"/>
      <c r="J1741" s="72">
        <v>3475</v>
      </c>
      <c r="K1741" s="88" t="s">
        <v>17</v>
      </c>
      <c r="L1741" s="73"/>
      <c r="M1741" s="11" t="s">
        <v>31</v>
      </c>
    </row>
    <row r="1742" spans="2:13" ht="15" customHeight="1" x14ac:dyDescent="0.25">
      <c r="B1742" s="45" t="s">
        <v>4396</v>
      </c>
      <c r="C1742" s="120">
        <v>45881</v>
      </c>
      <c r="D1742" s="12" t="s">
        <v>4397</v>
      </c>
      <c r="E1742" s="136"/>
      <c r="F1742" s="12" t="s">
        <v>4398</v>
      </c>
      <c r="G1742" s="137"/>
      <c r="H1742" s="67"/>
      <c r="I1742" s="71"/>
      <c r="J1742" s="72">
        <v>4975</v>
      </c>
      <c r="K1742" s="88" t="s">
        <v>17</v>
      </c>
      <c r="L1742" s="73"/>
      <c r="M1742" s="11" t="s">
        <v>18</v>
      </c>
    </row>
    <row r="1743" spans="2:13" ht="15" customHeight="1" x14ac:dyDescent="0.25">
      <c r="B1743" s="45" t="s">
        <v>4399</v>
      </c>
      <c r="C1743" s="120">
        <v>45890</v>
      </c>
      <c r="D1743" s="12" t="s">
        <v>1034</v>
      </c>
      <c r="E1743" s="136"/>
      <c r="F1743" t="s">
        <v>3659</v>
      </c>
      <c r="G1743" s="137"/>
      <c r="H1743" s="67"/>
      <c r="I1743" s="71"/>
      <c r="J1743" s="72">
        <v>316</v>
      </c>
      <c r="K1743" s="88" t="s">
        <v>17</v>
      </c>
      <c r="L1743" s="73"/>
      <c r="M1743" s="11" t="s">
        <v>31</v>
      </c>
    </row>
    <row r="1744" spans="2:13" ht="15" customHeight="1" x14ac:dyDescent="0.25">
      <c r="B1744" s="45" t="s">
        <v>4400</v>
      </c>
      <c r="C1744" s="120">
        <v>45882</v>
      </c>
      <c r="D1744" s="12" t="s">
        <v>4401</v>
      </c>
      <c r="E1744" s="136"/>
      <c r="F1744" s="12" t="s">
        <v>4231</v>
      </c>
      <c r="G1744" s="137"/>
      <c r="H1744" s="67"/>
      <c r="I1744" s="71"/>
      <c r="J1744" s="72">
        <v>122.5</v>
      </c>
      <c r="K1744" s="88" t="s">
        <v>17</v>
      </c>
      <c r="L1744" s="73"/>
      <c r="M1744" s="11" t="s">
        <v>18</v>
      </c>
    </row>
    <row r="1745" spans="2:13" ht="15" customHeight="1" x14ac:dyDescent="0.25">
      <c r="B1745" s="45" t="s">
        <v>4402</v>
      </c>
      <c r="C1745" s="120">
        <v>45883</v>
      </c>
      <c r="D1745" s="12" t="s">
        <v>4096</v>
      </c>
      <c r="E1745" s="136"/>
      <c r="F1745" s="12" t="s">
        <v>4403</v>
      </c>
      <c r="G1745" s="137"/>
      <c r="H1745" s="67"/>
      <c r="I1745" s="71"/>
      <c r="J1745" s="72">
        <v>3942.5</v>
      </c>
      <c r="K1745" s="88" t="s">
        <v>1874</v>
      </c>
      <c r="L1745" s="73"/>
      <c r="M1745" s="11" t="s">
        <v>3698</v>
      </c>
    </row>
    <row r="1746" spans="2:13" ht="15" customHeight="1" x14ac:dyDescent="0.25">
      <c r="B1746" s="45" t="s">
        <v>4404</v>
      </c>
      <c r="C1746" s="120">
        <v>45883</v>
      </c>
      <c r="D1746" s="12" t="s">
        <v>639</v>
      </c>
      <c r="E1746" s="136"/>
      <c r="F1746" s="12" t="s">
        <v>4405</v>
      </c>
      <c r="G1746" s="137"/>
      <c r="H1746" s="67"/>
      <c r="I1746" s="71"/>
      <c r="J1746" s="72">
        <v>356.25</v>
      </c>
      <c r="K1746" s="88" t="s">
        <v>17</v>
      </c>
      <c r="L1746" s="73"/>
      <c r="M1746" s="11" t="s">
        <v>31</v>
      </c>
    </row>
    <row r="1747" spans="2:13" ht="15" customHeight="1" x14ac:dyDescent="0.25">
      <c r="B1747" s="45" t="s">
        <v>4406</v>
      </c>
      <c r="C1747" s="120">
        <v>45884</v>
      </c>
      <c r="D1747" s="12" t="s">
        <v>639</v>
      </c>
      <c r="E1747" s="136"/>
      <c r="F1747" s="12" t="s">
        <v>4407</v>
      </c>
      <c r="G1747" s="137"/>
      <c r="H1747" s="67"/>
      <c r="I1747" s="71"/>
      <c r="J1747" s="72">
        <v>1500</v>
      </c>
      <c r="K1747" s="88" t="s">
        <v>17</v>
      </c>
      <c r="L1747" s="73"/>
      <c r="M1747" s="11" t="s">
        <v>31</v>
      </c>
    </row>
    <row r="1748" spans="2:13" ht="15" customHeight="1" x14ac:dyDescent="0.25">
      <c r="B1748" s="45" t="s">
        <v>4408</v>
      </c>
      <c r="C1748" s="120">
        <v>45885</v>
      </c>
      <c r="D1748" s="12" t="s">
        <v>27</v>
      </c>
      <c r="E1748" s="136"/>
      <c r="F1748" s="12" t="s">
        <v>28</v>
      </c>
      <c r="G1748" s="137"/>
      <c r="H1748" s="67"/>
      <c r="I1748" s="71"/>
      <c r="J1748" s="72">
        <v>29500</v>
      </c>
      <c r="K1748" s="88" t="s">
        <v>17</v>
      </c>
      <c r="L1748" s="73"/>
      <c r="M1748" s="11" t="s">
        <v>18</v>
      </c>
    </row>
    <row r="1749" spans="2:13" ht="15" customHeight="1" x14ac:dyDescent="0.25">
      <c r="B1749" s="45" t="s">
        <v>4409</v>
      </c>
      <c r="C1749" s="120">
        <v>45884</v>
      </c>
      <c r="D1749" s="12" t="s">
        <v>4410</v>
      </c>
      <c r="E1749" s="136"/>
      <c r="F1749" s="12" t="s">
        <v>4411</v>
      </c>
      <c r="G1749" s="137"/>
      <c r="H1749" s="67"/>
      <c r="I1749" s="71"/>
      <c r="J1749" s="72">
        <v>1779</v>
      </c>
      <c r="K1749" s="88" t="s">
        <v>3261</v>
      </c>
      <c r="L1749" s="73"/>
      <c r="M1749" s="11" t="s">
        <v>31</v>
      </c>
    </row>
    <row r="1750" spans="2:13" ht="15" customHeight="1" x14ac:dyDescent="0.25">
      <c r="B1750" s="45" t="s">
        <v>4412</v>
      </c>
      <c r="C1750" s="120">
        <v>45885</v>
      </c>
      <c r="D1750" s="12" t="s">
        <v>426</v>
      </c>
      <c r="E1750" s="136"/>
      <c r="F1750" s="12" t="s">
        <v>4231</v>
      </c>
      <c r="G1750" s="137"/>
      <c r="H1750" s="67"/>
      <c r="I1750" s="71"/>
      <c r="J1750" s="72">
        <v>297.5</v>
      </c>
      <c r="K1750" s="88" t="s">
        <v>17</v>
      </c>
      <c r="L1750" s="73"/>
      <c r="M1750" s="11" t="s">
        <v>31</v>
      </c>
    </row>
    <row r="1751" spans="2:13" ht="15" customHeight="1" x14ac:dyDescent="0.25">
      <c r="B1751" s="45" t="s">
        <v>4413</v>
      </c>
      <c r="C1751" s="120">
        <v>45884</v>
      </c>
      <c r="D1751" s="12" t="s">
        <v>639</v>
      </c>
      <c r="E1751" s="136"/>
      <c r="F1751" s="12" t="s">
        <v>4414</v>
      </c>
      <c r="G1751" s="137"/>
      <c r="H1751" s="67"/>
      <c r="I1751" s="71"/>
      <c r="J1751" s="72">
        <v>375</v>
      </c>
      <c r="K1751" s="88" t="s">
        <v>17</v>
      </c>
      <c r="L1751" s="73"/>
      <c r="M1751" s="11" t="s">
        <v>31</v>
      </c>
    </row>
    <row r="1752" spans="2:13" ht="15" customHeight="1" x14ac:dyDescent="0.25">
      <c r="B1752" s="45" t="s">
        <v>4415</v>
      </c>
      <c r="C1752" s="120">
        <v>45885</v>
      </c>
      <c r="D1752" s="12" t="s">
        <v>241</v>
      </c>
      <c r="E1752" s="136"/>
      <c r="F1752" s="12" t="s">
        <v>4416</v>
      </c>
      <c r="G1752" s="137"/>
      <c r="H1752" s="67"/>
      <c r="I1752" s="71"/>
      <c r="J1752" s="72">
        <v>405</v>
      </c>
      <c r="K1752" s="88" t="s">
        <v>17</v>
      </c>
      <c r="L1752" s="73"/>
      <c r="M1752" s="11" t="s">
        <v>31</v>
      </c>
    </row>
    <row r="1753" spans="2:13" ht="15" customHeight="1" x14ac:dyDescent="0.25">
      <c r="B1753" s="45" t="s">
        <v>4417</v>
      </c>
      <c r="C1753" s="120">
        <v>45894</v>
      </c>
      <c r="D1753" s="12" t="s">
        <v>3445</v>
      </c>
      <c r="E1753" s="136"/>
      <c r="F1753" s="12" t="s">
        <v>4418</v>
      </c>
      <c r="G1753" s="137"/>
      <c r="H1753" s="67"/>
      <c r="I1753" s="71"/>
      <c r="J1753" s="72">
        <v>150</v>
      </c>
      <c r="K1753" s="88" t="s">
        <v>1874</v>
      </c>
      <c r="L1753" s="73"/>
      <c r="M1753" s="11" t="s">
        <v>31</v>
      </c>
    </row>
    <row r="1754" spans="2:13" ht="15" customHeight="1" x14ac:dyDescent="0.25">
      <c r="B1754" s="45" t="s">
        <v>4419</v>
      </c>
      <c r="C1754" s="120">
        <v>45887</v>
      </c>
      <c r="D1754" s="12" t="s">
        <v>4420</v>
      </c>
      <c r="E1754" s="136"/>
      <c r="F1754" s="12" t="s">
        <v>1247</v>
      </c>
      <c r="G1754" s="137"/>
      <c r="H1754" s="67"/>
      <c r="I1754" s="71"/>
      <c r="J1754" s="72">
        <v>235</v>
      </c>
      <c r="K1754" s="88" t="s">
        <v>17</v>
      </c>
      <c r="L1754" s="73"/>
      <c r="M1754" s="11" t="s">
        <v>3698</v>
      </c>
    </row>
    <row r="1755" spans="2:13" ht="15" customHeight="1" x14ac:dyDescent="0.25">
      <c r="B1755" s="45" t="s">
        <v>4421</v>
      </c>
      <c r="C1755" s="120">
        <v>45887</v>
      </c>
      <c r="D1755" s="12" t="s">
        <v>639</v>
      </c>
      <c r="E1755" s="136"/>
      <c r="F1755" t="s">
        <v>511</v>
      </c>
      <c r="G1755" s="137"/>
      <c r="H1755" s="67"/>
      <c r="I1755" s="71"/>
      <c r="J1755" s="72">
        <v>150</v>
      </c>
      <c r="K1755" s="88" t="s">
        <v>17</v>
      </c>
      <c r="L1755" s="73"/>
      <c r="M1755" s="11" t="s">
        <v>31</v>
      </c>
    </row>
    <row r="1756" spans="2:13" ht="15" customHeight="1" x14ac:dyDescent="0.25">
      <c r="B1756" s="45" t="s">
        <v>4422</v>
      </c>
      <c r="C1756" s="120">
        <v>45888</v>
      </c>
      <c r="D1756" s="12" t="s">
        <v>4423</v>
      </c>
      <c r="E1756" s="136"/>
      <c r="F1756" s="12" t="s">
        <v>4424</v>
      </c>
      <c r="G1756" s="137"/>
      <c r="H1756" s="67"/>
      <c r="I1756" s="71"/>
      <c r="J1756" s="72">
        <v>312.5</v>
      </c>
      <c r="K1756" s="88" t="s">
        <v>17</v>
      </c>
      <c r="L1756" s="73"/>
      <c r="M1756" s="11" t="s">
        <v>31</v>
      </c>
    </row>
    <row r="1757" spans="2:13" ht="15" customHeight="1" x14ac:dyDescent="0.25">
      <c r="B1757" s="45" t="s">
        <v>4425</v>
      </c>
      <c r="C1757" s="120">
        <v>45889</v>
      </c>
      <c r="D1757" s="12" t="s">
        <v>1060</v>
      </c>
      <c r="E1757" s="136"/>
      <c r="F1757" s="12" t="s">
        <v>4426</v>
      </c>
      <c r="G1757" s="137"/>
      <c r="H1757" s="67"/>
      <c r="I1757" s="71"/>
      <c r="J1757" s="72">
        <v>6615</v>
      </c>
      <c r="K1757" s="88" t="s">
        <v>17</v>
      </c>
      <c r="L1757" s="73"/>
      <c r="M1757" s="11" t="s">
        <v>31</v>
      </c>
    </row>
    <row r="1758" spans="2:13" ht="15" customHeight="1" x14ac:dyDescent="0.25">
      <c r="B1758" s="45" t="s">
        <v>4427</v>
      </c>
      <c r="C1758" s="120">
        <v>45888</v>
      </c>
      <c r="D1758" s="12" t="s">
        <v>27</v>
      </c>
      <c r="E1758" s="136"/>
      <c r="F1758" s="12" t="s">
        <v>4428</v>
      </c>
      <c r="G1758" s="137"/>
      <c r="H1758" s="67"/>
      <c r="I1758" s="71"/>
      <c r="J1758" s="72">
        <v>8875</v>
      </c>
      <c r="K1758" s="88" t="s">
        <v>17</v>
      </c>
      <c r="L1758" s="73"/>
      <c r="M1758" s="11" t="s">
        <v>31</v>
      </c>
    </row>
    <row r="1759" spans="2:13" ht="15" customHeight="1" x14ac:dyDescent="0.25">
      <c r="B1759" s="45" t="s">
        <v>4429</v>
      </c>
      <c r="C1759" s="120">
        <v>45890</v>
      </c>
      <c r="D1759" s="12" t="s">
        <v>4369</v>
      </c>
      <c r="E1759" s="136"/>
      <c r="F1759" s="12" t="s">
        <v>4430</v>
      </c>
      <c r="G1759" s="137"/>
      <c r="H1759" s="67"/>
      <c r="I1759" s="71"/>
      <c r="J1759" s="72">
        <v>600</v>
      </c>
      <c r="K1759" s="88" t="s">
        <v>3625</v>
      </c>
      <c r="L1759" s="73"/>
      <c r="M1759" s="11" t="s">
        <v>18</v>
      </c>
    </row>
    <row r="1760" spans="2:13" ht="15" customHeight="1" x14ac:dyDescent="0.25">
      <c r="B1760" s="45" t="s">
        <v>4431</v>
      </c>
      <c r="C1760" s="120">
        <v>45889</v>
      </c>
      <c r="D1760" s="12" t="s">
        <v>4432</v>
      </c>
      <c r="E1760" s="136"/>
      <c r="F1760" s="12" t="s">
        <v>2835</v>
      </c>
      <c r="G1760" s="137"/>
      <c r="H1760" s="67"/>
      <c r="I1760" s="71"/>
      <c r="J1760" s="72">
        <v>875</v>
      </c>
      <c r="K1760" s="88" t="s">
        <v>1874</v>
      </c>
      <c r="L1760" s="73"/>
      <c r="M1760" s="11" t="s">
        <v>3698</v>
      </c>
    </row>
    <row r="1761" spans="2:13" ht="15" customHeight="1" x14ac:dyDescent="0.25">
      <c r="B1761" s="45" t="s">
        <v>4433</v>
      </c>
      <c r="C1761" s="120">
        <v>45889</v>
      </c>
      <c r="D1761" s="12" t="s">
        <v>2012</v>
      </c>
      <c r="E1761" s="136"/>
      <c r="F1761" s="12" t="s">
        <v>2721</v>
      </c>
      <c r="G1761" s="137"/>
      <c r="H1761" s="67"/>
      <c r="I1761" s="71"/>
      <c r="J1761" s="72">
        <v>9950</v>
      </c>
      <c r="K1761" s="88" t="s">
        <v>17</v>
      </c>
      <c r="L1761" s="73"/>
      <c r="M1761" s="11" t="s">
        <v>31</v>
      </c>
    </row>
    <row r="1762" spans="2:13" ht="15" customHeight="1" x14ac:dyDescent="0.25">
      <c r="B1762" s="45" t="s">
        <v>4434</v>
      </c>
      <c r="C1762" s="120">
        <v>45889</v>
      </c>
      <c r="D1762" s="12" t="s">
        <v>654</v>
      </c>
      <c r="E1762" s="136"/>
      <c r="F1762" s="12" t="s">
        <v>4435</v>
      </c>
      <c r="G1762" s="137"/>
      <c r="H1762" s="67"/>
      <c r="I1762" s="71"/>
      <c r="J1762" s="72">
        <v>775</v>
      </c>
      <c r="K1762" s="88" t="s">
        <v>17</v>
      </c>
      <c r="L1762" s="73"/>
      <c r="M1762" s="11" t="s">
        <v>31</v>
      </c>
    </row>
    <row r="1763" spans="2:13" ht="15" customHeight="1" x14ac:dyDescent="0.25">
      <c r="B1763" s="45" t="s">
        <v>4436</v>
      </c>
      <c r="C1763" s="120">
        <v>45889</v>
      </c>
      <c r="D1763" s="12" t="s">
        <v>1060</v>
      </c>
      <c r="E1763" s="136"/>
      <c r="F1763" s="12" t="s">
        <v>4437</v>
      </c>
      <c r="G1763" s="137"/>
      <c r="H1763" s="67"/>
      <c r="I1763" s="71"/>
      <c r="J1763" s="72">
        <v>76.25</v>
      </c>
      <c r="K1763" s="88" t="s">
        <v>17</v>
      </c>
      <c r="L1763" s="73"/>
      <c r="M1763" s="11" t="s">
        <v>31</v>
      </c>
    </row>
    <row r="1764" spans="2:13" ht="15" customHeight="1" x14ac:dyDescent="0.25">
      <c r="B1764" s="45" t="s">
        <v>4438</v>
      </c>
      <c r="C1764" s="120">
        <v>45890</v>
      </c>
      <c r="D1764" s="12" t="s">
        <v>211</v>
      </c>
      <c r="E1764" s="136"/>
      <c r="F1764" s="12" t="s">
        <v>4439</v>
      </c>
      <c r="G1764" s="137"/>
      <c r="H1764" s="67"/>
      <c r="I1764" s="71"/>
      <c r="J1764" s="72">
        <v>160</v>
      </c>
      <c r="K1764" s="88" t="s">
        <v>17</v>
      </c>
      <c r="L1764" s="73"/>
      <c r="M1764" s="11" t="s">
        <v>31</v>
      </c>
    </row>
    <row r="1765" spans="2:13" ht="15" customHeight="1" x14ac:dyDescent="0.25">
      <c r="B1765" s="45" t="s">
        <v>4440</v>
      </c>
      <c r="C1765" s="120">
        <v>45890</v>
      </c>
      <c r="D1765" s="12" t="s">
        <v>4441</v>
      </c>
      <c r="E1765" s="136"/>
      <c r="F1765" s="12" t="s">
        <v>4442</v>
      </c>
      <c r="G1765" s="137"/>
      <c r="H1765" s="67"/>
      <c r="I1765" s="71"/>
      <c r="J1765" s="72">
        <v>895</v>
      </c>
      <c r="K1765" s="88" t="s">
        <v>17</v>
      </c>
      <c r="L1765" s="73"/>
      <c r="M1765" s="11" t="s">
        <v>31</v>
      </c>
    </row>
    <row r="1766" spans="2:13" ht="15" customHeight="1" x14ac:dyDescent="0.25">
      <c r="B1766" s="45" t="s">
        <v>4443</v>
      </c>
      <c r="C1766" s="120">
        <v>45890</v>
      </c>
      <c r="D1766" s="12" t="s">
        <v>639</v>
      </c>
      <c r="E1766" s="136"/>
      <c r="F1766" s="12" t="s">
        <v>4444</v>
      </c>
      <c r="G1766" s="137"/>
      <c r="H1766" s="67"/>
      <c r="I1766" s="71"/>
      <c r="J1766" s="72">
        <v>525</v>
      </c>
      <c r="K1766" s="88" t="s">
        <v>17</v>
      </c>
      <c r="L1766" s="73"/>
      <c r="M1766" s="11" t="s">
        <v>31</v>
      </c>
    </row>
    <row r="1767" spans="2:13" ht="15" customHeight="1" x14ac:dyDescent="0.25">
      <c r="B1767" s="45" t="s">
        <v>4445</v>
      </c>
      <c r="C1767" s="120">
        <v>45891</v>
      </c>
      <c r="D1767" s="12" t="s">
        <v>4446</v>
      </c>
      <c r="E1767" s="136"/>
      <c r="F1767" s="12" t="s">
        <v>2674</v>
      </c>
      <c r="G1767" s="137"/>
      <c r="H1767" s="67"/>
      <c r="I1767" s="71"/>
      <c r="J1767" s="72">
        <v>525</v>
      </c>
      <c r="K1767" s="88" t="s">
        <v>1874</v>
      </c>
      <c r="L1767" s="73"/>
      <c r="M1767" s="11" t="s">
        <v>3698</v>
      </c>
    </row>
    <row r="1768" spans="2:13" ht="15" customHeight="1" x14ac:dyDescent="0.25">
      <c r="B1768" s="45" t="s">
        <v>4447</v>
      </c>
      <c r="C1768" s="120">
        <v>45890</v>
      </c>
      <c r="D1768" s="12" t="s">
        <v>170</v>
      </c>
      <c r="E1768" s="136"/>
      <c r="F1768" s="12" t="s">
        <v>2835</v>
      </c>
      <c r="G1768" s="137"/>
      <c r="H1768" s="67"/>
      <c r="I1768" s="71"/>
      <c r="J1768" s="72"/>
      <c r="K1768" s="88" t="s">
        <v>17</v>
      </c>
      <c r="L1768" s="73"/>
      <c r="M1768" s="11" t="s">
        <v>31</v>
      </c>
    </row>
    <row r="1769" spans="2:13" ht="15" customHeight="1" x14ac:dyDescent="0.25">
      <c r="B1769" s="45" t="s">
        <v>4448</v>
      </c>
      <c r="C1769" s="120">
        <v>45891</v>
      </c>
      <c r="D1769" s="12" t="s">
        <v>1060</v>
      </c>
      <c r="E1769" s="136"/>
      <c r="F1769" s="12" t="s">
        <v>770</v>
      </c>
      <c r="G1769" s="137"/>
      <c r="H1769" s="67"/>
      <c r="I1769" s="71"/>
      <c r="J1769" s="72">
        <v>345</v>
      </c>
      <c r="K1769" s="88" t="s">
        <v>17</v>
      </c>
      <c r="L1769" s="73"/>
      <c r="M1769" s="11" t="s">
        <v>31</v>
      </c>
    </row>
    <row r="1770" spans="2:13" ht="15" customHeight="1" x14ac:dyDescent="0.25">
      <c r="B1770" s="45" t="s">
        <v>4449</v>
      </c>
      <c r="C1770" s="120">
        <v>45891</v>
      </c>
      <c r="D1770" s="12" t="s">
        <v>27</v>
      </c>
      <c r="E1770" s="136"/>
      <c r="F1770" s="12" t="s">
        <v>28</v>
      </c>
      <c r="G1770" s="137"/>
      <c r="H1770" s="67"/>
      <c r="I1770" s="71"/>
      <c r="J1770" s="72">
        <v>4410</v>
      </c>
      <c r="K1770" s="88" t="s">
        <v>17</v>
      </c>
      <c r="L1770" s="73"/>
      <c r="M1770" s="11" t="s">
        <v>31</v>
      </c>
    </row>
    <row r="1771" spans="2:13" ht="15" customHeight="1" x14ac:dyDescent="0.25">
      <c r="B1771" s="45" t="s">
        <v>4450</v>
      </c>
      <c r="C1771" s="120">
        <v>45891</v>
      </c>
      <c r="D1771" s="12" t="s">
        <v>241</v>
      </c>
      <c r="E1771" s="136"/>
      <c r="F1771" s="12" t="s">
        <v>4451</v>
      </c>
      <c r="G1771" s="137"/>
      <c r="H1771" s="67"/>
      <c r="I1771" s="71"/>
      <c r="J1771" s="72">
        <v>405</v>
      </c>
      <c r="K1771" s="88" t="s">
        <v>17</v>
      </c>
      <c r="L1771" s="73"/>
      <c r="M1771" s="11" t="s">
        <v>31</v>
      </c>
    </row>
    <row r="1772" spans="2:13" ht="15" customHeight="1" x14ac:dyDescent="0.25">
      <c r="B1772" s="45" t="s">
        <v>4452</v>
      </c>
      <c r="C1772" s="120">
        <v>45891</v>
      </c>
      <c r="D1772" s="12" t="s">
        <v>2511</v>
      </c>
      <c r="E1772" s="136"/>
      <c r="F1772" s="12" t="s">
        <v>4453</v>
      </c>
      <c r="G1772" s="137"/>
      <c r="H1772" s="67"/>
      <c r="I1772" s="71"/>
      <c r="J1772" s="72">
        <v>2475</v>
      </c>
      <c r="K1772" s="88" t="s">
        <v>17</v>
      </c>
      <c r="L1772" s="73"/>
      <c r="M1772" s="11" t="s">
        <v>31</v>
      </c>
    </row>
    <row r="1773" spans="2:13" ht="15" customHeight="1" x14ac:dyDescent="0.25">
      <c r="B1773" s="45" t="s">
        <v>4454</v>
      </c>
      <c r="C1773" s="120">
        <v>45894</v>
      </c>
      <c r="D1773" s="12" t="s">
        <v>1060</v>
      </c>
      <c r="E1773" s="136"/>
      <c r="F1773" s="12" t="s">
        <v>4186</v>
      </c>
      <c r="G1773" s="137"/>
      <c r="H1773" s="67"/>
      <c r="I1773" s="71"/>
      <c r="J1773" s="72">
        <v>347.5</v>
      </c>
      <c r="K1773" s="88" t="s">
        <v>17</v>
      </c>
      <c r="L1773" s="73"/>
      <c r="M1773" s="11" t="s">
        <v>31</v>
      </c>
    </row>
    <row r="1774" spans="2:13" ht="15" customHeight="1" x14ac:dyDescent="0.25">
      <c r="B1774" s="45" t="s">
        <v>4455</v>
      </c>
      <c r="C1774" s="120">
        <v>45894</v>
      </c>
      <c r="D1774" s="12" t="s">
        <v>211</v>
      </c>
      <c r="E1774" s="136"/>
      <c r="F1774" s="12" t="s">
        <v>4456</v>
      </c>
      <c r="G1774" s="137"/>
      <c r="H1774" s="67"/>
      <c r="I1774" s="71"/>
      <c r="J1774" s="72">
        <v>320</v>
      </c>
      <c r="K1774" s="88" t="s">
        <v>17</v>
      </c>
      <c r="L1774" s="73"/>
      <c r="M1774" s="11" t="s">
        <v>31</v>
      </c>
    </row>
    <row r="1775" spans="2:13" ht="15" customHeight="1" x14ac:dyDescent="0.25">
      <c r="B1775" s="45" t="s">
        <v>4457</v>
      </c>
      <c r="C1775" s="120">
        <v>45894</v>
      </c>
      <c r="D1775" s="12" t="s">
        <v>27</v>
      </c>
      <c r="E1775" s="136"/>
      <c r="F1775" s="12" t="s">
        <v>4458</v>
      </c>
      <c r="G1775" s="137"/>
      <c r="H1775" s="67"/>
      <c r="I1775" s="71"/>
      <c r="J1775" s="72">
        <v>325</v>
      </c>
      <c r="K1775" s="88" t="s">
        <v>17</v>
      </c>
      <c r="L1775" s="73"/>
      <c r="M1775" s="11" t="s">
        <v>31</v>
      </c>
    </row>
    <row r="1776" spans="2:13" ht="15" customHeight="1" x14ac:dyDescent="0.25">
      <c r="B1776" s="45" t="s">
        <v>4459</v>
      </c>
      <c r="C1776" s="120">
        <v>45895</v>
      </c>
      <c r="D1776" s="12" t="s">
        <v>115</v>
      </c>
      <c r="E1776" s="136"/>
      <c r="F1776" s="12" t="s">
        <v>4460</v>
      </c>
      <c r="G1776" s="137"/>
      <c r="H1776" s="67"/>
      <c r="I1776" s="71"/>
      <c r="J1776" s="72">
        <v>1930</v>
      </c>
      <c r="K1776" s="88" t="s">
        <v>3625</v>
      </c>
      <c r="L1776" s="73"/>
      <c r="M1776" s="11" t="s">
        <v>31</v>
      </c>
    </row>
    <row r="1777" spans="2:13" ht="15" customHeight="1" x14ac:dyDescent="0.25">
      <c r="B1777" s="45" t="s">
        <v>4461</v>
      </c>
      <c r="C1777" s="120">
        <v>45896</v>
      </c>
      <c r="D1777" s="12" t="s">
        <v>4462</v>
      </c>
      <c r="E1777" s="136"/>
      <c r="F1777" s="12" t="s">
        <v>66</v>
      </c>
      <c r="G1777" s="137"/>
      <c r="H1777" s="67"/>
      <c r="I1777" s="71"/>
      <c r="J1777" s="72">
        <v>1200</v>
      </c>
      <c r="K1777" s="88" t="s">
        <v>17</v>
      </c>
      <c r="L1777" s="73"/>
      <c r="M1777" s="11" t="s">
        <v>18</v>
      </c>
    </row>
    <row r="1778" spans="2:13" ht="15" customHeight="1" x14ac:dyDescent="0.25">
      <c r="B1778" s="45" t="s">
        <v>4463</v>
      </c>
      <c r="C1778" s="120">
        <v>45896</v>
      </c>
      <c r="D1778" s="12" t="s">
        <v>4300</v>
      </c>
      <c r="E1778" s="136"/>
      <c r="F1778" s="12" t="s">
        <v>4464</v>
      </c>
      <c r="G1778" s="137"/>
      <c r="H1778" s="67"/>
      <c r="I1778" s="71"/>
      <c r="J1778" s="72">
        <v>2990</v>
      </c>
      <c r="K1778" s="88" t="s">
        <v>17</v>
      </c>
      <c r="L1778" s="73"/>
      <c r="M1778" s="11" t="s">
        <v>31</v>
      </c>
    </row>
    <row r="1779" spans="2:13" ht="15" customHeight="1" x14ac:dyDescent="0.25">
      <c r="B1779" s="45" t="s">
        <v>4465</v>
      </c>
      <c r="C1779" s="120">
        <v>45896</v>
      </c>
      <c r="D1779" s="12" t="s">
        <v>4466</v>
      </c>
      <c r="E1779" s="136"/>
      <c r="F1779" s="12" t="s">
        <v>66</v>
      </c>
      <c r="G1779" s="137"/>
      <c r="H1779" s="67"/>
      <c r="I1779" s="71"/>
      <c r="J1779" s="72">
        <v>2137.5</v>
      </c>
      <c r="K1779" s="88" t="s">
        <v>17</v>
      </c>
      <c r="L1779" s="73"/>
      <c r="M1779" s="11" t="s">
        <v>31</v>
      </c>
    </row>
    <row r="1780" spans="2:13" ht="15" customHeight="1" x14ac:dyDescent="0.25">
      <c r="B1780" s="45" t="s">
        <v>4467</v>
      </c>
      <c r="C1780" s="120">
        <v>45896</v>
      </c>
      <c r="D1780" s="12" t="s">
        <v>639</v>
      </c>
      <c r="E1780" s="136"/>
      <c r="F1780" s="12" t="s">
        <v>2365</v>
      </c>
      <c r="G1780" s="137"/>
      <c r="H1780" s="67"/>
      <c r="I1780" s="71"/>
      <c r="J1780" s="72">
        <v>3750</v>
      </c>
      <c r="K1780" s="88" t="s">
        <v>17</v>
      </c>
      <c r="L1780" s="73"/>
      <c r="M1780" s="11" t="s">
        <v>3698</v>
      </c>
    </row>
    <row r="1781" spans="2:13" ht="15" customHeight="1" x14ac:dyDescent="0.25">
      <c r="B1781" s="45" t="s">
        <v>4468</v>
      </c>
      <c r="C1781" s="120">
        <v>45896</v>
      </c>
      <c r="D1781" s="12" t="s">
        <v>2871</v>
      </c>
      <c r="E1781" s="136"/>
      <c r="F1781" s="12" t="s">
        <v>4469</v>
      </c>
      <c r="G1781" s="137"/>
      <c r="H1781" s="67"/>
      <c r="I1781" s="71"/>
      <c r="J1781" s="72">
        <v>2945</v>
      </c>
      <c r="K1781" s="88" t="s">
        <v>17</v>
      </c>
      <c r="L1781" s="73"/>
      <c r="M1781" s="11" t="s">
        <v>31</v>
      </c>
    </row>
    <row r="1782" spans="2:13" ht="15" customHeight="1" x14ac:dyDescent="0.25">
      <c r="B1782" s="45" t="s">
        <v>4470</v>
      </c>
      <c r="C1782" s="120">
        <v>45896</v>
      </c>
      <c r="D1782" t="s">
        <v>27</v>
      </c>
      <c r="E1782" s="136"/>
      <c r="F1782" s="12" t="s">
        <v>4471</v>
      </c>
      <c r="G1782" s="137"/>
      <c r="H1782" s="67"/>
      <c r="I1782" s="71"/>
      <c r="J1782" s="72">
        <v>1503.5</v>
      </c>
      <c r="K1782" s="88" t="s">
        <v>17</v>
      </c>
      <c r="L1782" s="73"/>
      <c r="M1782" s="11" t="s">
        <v>31</v>
      </c>
    </row>
    <row r="1783" spans="2:13" ht="15" customHeight="1" x14ac:dyDescent="0.25">
      <c r="B1783" s="45" t="s">
        <v>4472</v>
      </c>
      <c r="C1783" s="120">
        <v>45897</v>
      </c>
      <c r="D1783" s="12" t="s">
        <v>27</v>
      </c>
      <c r="E1783" s="136"/>
      <c r="F1783" s="12" t="s">
        <v>4473</v>
      </c>
      <c r="G1783" s="137"/>
      <c r="H1783" s="67"/>
      <c r="I1783" s="71"/>
      <c r="J1783" s="72">
        <v>12400</v>
      </c>
      <c r="K1783" s="88" t="s">
        <v>17</v>
      </c>
      <c r="L1783" s="73"/>
      <c r="M1783" s="11" t="s">
        <v>31</v>
      </c>
    </row>
    <row r="1784" spans="2:13" ht="15" customHeight="1" x14ac:dyDescent="0.25">
      <c r="B1784" s="45" t="s">
        <v>4474</v>
      </c>
      <c r="C1784" s="120">
        <v>45897</v>
      </c>
      <c r="D1784" s="12" t="s">
        <v>3440</v>
      </c>
      <c r="E1784" s="136"/>
      <c r="F1784" t="s">
        <v>4475</v>
      </c>
      <c r="G1784" s="137"/>
      <c r="H1784" s="67"/>
      <c r="I1784" s="71"/>
      <c r="J1784" s="72">
        <v>1575</v>
      </c>
      <c r="K1784" s="88" t="s">
        <v>17</v>
      </c>
      <c r="L1784" s="73"/>
      <c r="M1784" s="11" t="s">
        <v>3698</v>
      </c>
    </row>
    <row r="1785" spans="2:13" ht="15" customHeight="1" x14ac:dyDescent="0.25">
      <c r="B1785" s="45" t="s">
        <v>4476</v>
      </c>
      <c r="C1785" s="120">
        <v>45897</v>
      </c>
      <c r="D1785" t="s">
        <v>27</v>
      </c>
      <c r="E1785" s="136"/>
      <c r="F1785" t="s">
        <v>4477</v>
      </c>
      <c r="G1785" s="137"/>
      <c r="H1785" s="67"/>
      <c r="I1785" s="71"/>
      <c r="J1785" s="72">
        <v>2375</v>
      </c>
      <c r="K1785" s="88" t="s">
        <v>17</v>
      </c>
      <c r="L1785" s="73"/>
      <c r="M1785" s="11" t="s">
        <v>31</v>
      </c>
    </row>
    <row r="1786" spans="2:13" ht="15" customHeight="1" x14ac:dyDescent="0.25">
      <c r="B1786" s="45" t="s">
        <v>4478</v>
      </c>
      <c r="C1786" s="120">
        <v>45897</v>
      </c>
      <c r="D1786" s="12" t="s">
        <v>170</v>
      </c>
      <c r="E1786" s="136"/>
      <c r="F1786" s="12" t="s">
        <v>4479</v>
      </c>
      <c r="G1786" s="137"/>
      <c r="H1786" s="67"/>
      <c r="I1786" s="71"/>
      <c r="J1786" s="72">
        <v>5215</v>
      </c>
      <c r="K1786" s="88" t="s">
        <v>17</v>
      </c>
      <c r="L1786" s="73"/>
      <c r="M1786" s="11" t="s">
        <v>31</v>
      </c>
    </row>
    <row r="1787" spans="2:13" ht="15" customHeight="1" x14ac:dyDescent="0.25">
      <c r="B1787" s="45" t="s">
        <v>4480</v>
      </c>
      <c r="C1787" s="120">
        <v>45897</v>
      </c>
      <c r="D1787" s="12" t="s">
        <v>4481</v>
      </c>
      <c r="E1787" s="136"/>
      <c r="F1787" s="12" t="s">
        <v>4482</v>
      </c>
      <c r="G1787" s="137"/>
      <c r="H1787" s="67"/>
      <c r="I1787" s="71"/>
      <c r="J1787" s="72">
        <v>5250</v>
      </c>
      <c r="K1787" s="88" t="s">
        <v>17</v>
      </c>
      <c r="L1787" s="73"/>
      <c r="M1787" s="11" t="s">
        <v>31</v>
      </c>
    </row>
    <row r="1788" spans="2:13" ht="15" customHeight="1" x14ac:dyDescent="0.25">
      <c r="B1788" s="45" t="s">
        <v>4483</v>
      </c>
      <c r="C1788" s="120">
        <v>45897</v>
      </c>
      <c r="D1788" s="12" t="s">
        <v>1060</v>
      </c>
      <c r="E1788" s="136"/>
      <c r="F1788" s="12" t="s">
        <v>4484</v>
      </c>
      <c r="G1788" s="137"/>
      <c r="H1788" s="67"/>
      <c r="I1788" s="71"/>
      <c r="J1788" s="72">
        <v>630</v>
      </c>
      <c r="K1788" s="88" t="s">
        <v>17</v>
      </c>
      <c r="L1788" s="73"/>
      <c r="M1788" s="11" t="s">
        <v>31</v>
      </c>
    </row>
    <row r="1789" spans="2:13" ht="15" customHeight="1" x14ac:dyDescent="0.25">
      <c r="B1789" s="45" t="s">
        <v>4485</v>
      </c>
      <c r="C1789" s="120">
        <v>45897</v>
      </c>
      <c r="D1789" s="12" t="s">
        <v>429</v>
      </c>
      <c r="E1789" s="136"/>
      <c r="F1789" s="12" t="s">
        <v>4486</v>
      </c>
      <c r="G1789" s="137"/>
      <c r="H1789" s="67"/>
      <c r="I1789" s="71"/>
      <c r="J1789" s="72">
        <v>5820</v>
      </c>
      <c r="K1789" s="88" t="s">
        <v>17</v>
      </c>
      <c r="L1789" s="73"/>
      <c r="M1789" s="11" t="s">
        <v>18</v>
      </c>
    </row>
    <row r="1790" spans="2:13" ht="15" customHeight="1" x14ac:dyDescent="0.25">
      <c r="B1790" s="45" t="s">
        <v>4487</v>
      </c>
      <c r="C1790" s="120">
        <v>45898</v>
      </c>
      <c r="D1790" s="12" t="s">
        <v>4466</v>
      </c>
      <c r="E1790" s="136"/>
      <c r="F1790" s="12" t="s">
        <v>4488</v>
      </c>
      <c r="G1790" s="137"/>
      <c r="H1790" s="67"/>
      <c r="I1790" s="71"/>
      <c r="J1790" s="72">
        <v>525</v>
      </c>
      <c r="K1790" s="88" t="s">
        <v>17</v>
      </c>
      <c r="L1790" s="73"/>
      <c r="M1790" s="11" t="s">
        <v>3698</v>
      </c>
    </row>
    <row r="1791" spans="2:13" ht="15" customHeight="1" x14ac:dyDescent="0.25">
      <c r="B1791" s="45" t="s">
        <v>4489</v>
      </c>
      <c r="C1791" s="120">
        <v>45898</v>
      </c>
      <c r="D1791" s="12" t="s">
        <v>1188</v>
      </c>
      <c r="E1791" s="136"/>
      <c r="F1791" s="12" t="s">
        <v>4490</v>
      </c>
      <c r="G1791" s="137"/>
      <c r="H1791" s="67"/>
      <c r="I1791" s="71"/>
      <c r="J1791" s="72">
        <v>438.5</v>
      </c>
      <c r="K1791" s="88" t="s">
        <v>3625</v>
      </c>
      <c r="L1791" s="73"/>
      <c r="M1791" s="11" t="s">
        <v>31</v>
      </c>
    </row>
    <row r="1792" spans="2:13" ht="15" customHeight="1" x14ac:dyDescent="0.25">
      <c r="B1792" s="45" t="s">
        <v>4491</v>
      </c>
      <c r="C1792" s="120">
        <v>45899</v>
      </c>
      <c r="D1792" s="12" t="s">
        <v>4492</v>
      </c>
      <c r="E1792" s="136"/>
      <c r="F1792" s="12" t="s">
        <v>4493</v>
      </c>
      <c r="G1792" s="137"/>
      <c r="H1792" s="67"/>
      <c r="I1792" s="71"/>
      <c r="J1792" s="72">
        <v>1900</v>
      </c>
      <c r="K1792" s="88" t="s">
        <v>1874</v>
      </c>
      <c r="L1792" s="73"/>
      <c r="M1792" s="11" t="s">
        <v>18</v>
      </c>
    </row>
    <row r="1793" spans="2:13" ht="15" customHeight="1" x14ac:dyDescent="0.25">
      <c r="B1793" s="45" t="s">
        <v>4494</v>
      </c>
      <c r="C1793" s="120">
        <v>45899</v>
      </c>
      <c r="D1793" s="12" t="s">
        <v>3008</v>
      </c>
      <c r="E1793" s="136"/>
      <c r="F1793" s="12" t="s">
        <v>1567</v>
      </c>
      <c r="G1793" s="137"/>
      <c r="H1793" s="67"/>
      <c r="I1793" s="71"/>
      <c r="J1793" s="72">
        <v>14875</v>
      </c>
      <c r="K1793" s="88" t="s">
        <v>1874</v>
      </c>
      <c r="L1793" s="73"/>
      <c r="M1793" s="11" t="s">
        <v>3698</v>
      </c>
    </row>
    <row r="1794" spans="2:13" ht="15" customHeight="1" x14ac:dyDescent="0.25">
      <c r="B1794" s="45" t="s">
        <v>4495</v>
      </c>
      <c r="C1794" s="120">
        <v>45899</v>
      </c>
      <c r="D1794" s="12" t="s">
        <v>211</v>
      </c>
      <c r="E1794" s="136"/>
      <c r="F1794" s="12" t="s">
        <v>2308</v>
      </c>
      <c r="G1794" s="137"/>
      <c r="H1794" s="67"/>
      <c r="I1794" s="71"/>
      <c r="J1794" s="72">
        <v>13125</v>
      </c>
      <c r="K1794" s="88" t="s">
        <v>17</v>
      </c>
      <c r="L1794" s="73"/>
      <c r="M1794" s="11" t="s">
        <v>18</v>
      </c>
    </row>
    <row r="1795" spans="2:13" ht="15" customHeight="1" x14ac:dyDescent="0.25">
      <c r="B1795" s="45" t="s">
        <v>4496</v>
      </c>
      <c r="C1795" s="120">
        <v>45901</v>
      </c>
      <c r="D1795" s="102" t="s">
        <v>211</v>
      </c>
      <c r="E1795" s="136"/>
      <c r="F1795" s="102" t="s">
        <v>4497</v>
      </c>
      <c r="G1795" s="137"/>
      <c r="H1795" s="67"/>
      <c r="I1795" s="71"/>
      <c r="J1795" s="72">
        <v>160</v>
      </c>
      <c r="K1795" s="88" t="s">
        <v>17</v>
      </c>
      <c r="L1795" s="73"/>
      <c r="M1795" s="11" t="s">
        <v>31</v>
      </c>
    </row>
    <row r="1796" spans="2:13" ht="15" customHeight="1" x14ac:dyDescent="0.25">
      <c r="B1796" s="45" t="s">
        <v>4498</v>
      </c>
      <c r="C1796" s="120">
        <v>45901</v>
      </c>
      <c r="D1796" s="12" t="s">
        <v>44</v>
      </c>
      <c r="E1796" s="136"/>
      <c r="F1796" s="12" t="s">
        <v>4499</v>
      </c>
      <c r="G1796" s="137"/>
      <c r="H1796" s="67"/>
      <c r="I1796" s="71"/>
      <c r="J1796" s="72">
        <v>1925</v>
      </c>
      <c r="K1796" s="88" t="s">
        <v>17</v>
      </c>
      <c r="L1796" s="73"/>
      <c r="M1796" s="11" t="s">
        <v>31</v>
      </c>
    </row>
    <row r="1797" spans="2:13" ht="15" customHeight="1" x14ac:dyDescent="0.25">
      <c r="B1797" s="45" t="s">
        <v>4500</v>
      </c>
      <c r="C1797" s="120">
        <v>45901</v>
      </c>
      <c r="D1797" s="147" t="s">
        <v>27</v>
      </c>
      <c r="E1797" s="136"/>
      <c r="F1797" t="s">
        <v>4501</v>
      </c>
      <c r="G1797" s="137"/>
      <c r="H1797" s="67"/>
      <c r="I1797" s="71"/>
      <c r="J1797" s="72">
        <v>325</v>
      </c>
      <c r="K1797" s="88" t="s">
        <v>17</v>
      </c>
      <c r="L1797" s="73"/>
      <c r="M1797" s="11" t="s">
        <v>31</v>
      </c>
    </row>
    <row r="1798" spans="2:13" ht="15" customHeight="1" x14ac:dyDescent="0.25">
      <c r="B1798" s="45" t="s">
        <v>4502</v>
      </c>
      <c r="C1798" s="120">
        <v>45901</v>
      </c>
      <c r="D1798" s="12" t="s">
        <v>211</v>
      </c>
      <c r="E1798" s="136"/>
      <c r="F1798" s="12" t="s">
        <v>4503</v>
      </c>
      <c r="G1798" s="137"/>
      <c r="H1798" s="67"/>
      <c r="I1798" s="71"/>
      <c r="J1798" s="72">
        <v>160</v>
      </c>
      <c r="K1798" s="88" t="s">
        <v>17</v>
      </c>
      <c r="L1798" s="73"/>
      <c r="M1798" s="11" t="s">
        <v>31</v>
      </c>
    </row>
    <row r="1799" spans="2:13" ht="15" customHeight="1" x14ac:dyDescent="0.25">
      <c r="B1799" s="45" t="s">
        <v>4504</v>
      </c>
      <c r="C1799" s="120">
        <v>45902</v>
      </c>
      <c r="D1799" s="10" t="s">
        <v>27</v>
      </c>
      <c r="E1799" s="136"/>
      <c r="F1799" s="10" t="s">
        <v>3925</v>
      </c>
      <c r="G1799" s="137"/>
      <c r="H1799" s="67"/>
      <c r="I1799" s="71"/>
      <c r="J1799" s="72">
        <v>22775</v>
      </c>
      <c r="K1799" s="88" t="s">
        <v>17</v>
      </c>
      <c r="L1799" s="73"/>
      <c r="M1799" s="11" t="s">
        <v>31</v>
      </c>
    </row>
    <row r="1800" spans="2:13" ht="15" customHeight="1" x14ac:dyDescent="0.25">
      <c r="B1800" s="45" t="s">
        <v>4505</v>
      </c>
      <c r="C1800" s="120">
        <v>45902</v>
      </c>
      <c r="D1800" s="12" t="s">
        <v>27</v>
      </c>
      <c r="E1800" s="136"/>
      <c r="F1800" s="12" t="s">
        <v>4506</v>
      </c>
      <c r="G1800" s="137"/>
      <c r="H1800" s="67"/>
      <c r="I1800" s="71"/>
      <c r="J1800" s="72">
        <v>1520</v>
      </c>
      <c r="K1800" s="88" t="s">
        <v>17</v>
      </c>
      <c r="L1800" s="73"/>
      <c r="M1800" s="11" t="s">
        <v>31</v>
      </c>
    </row>
    <row r="1801" spans="2:13" ht="15" customHeight="1" x14ac:dyDescent="0.25">
      <c r="B1801" s="45" t="s">
        <v>4507</v>
      </c>
      <c r="C1801" s="120">
        <v>45902</v>
      </c>
      <c r="D1801" s="12" t="s">
        <v>27</v>
      </c>
      <c r="E1801" s="136"/>
      <c r="F1801" s="12" t="s">
        <v>1389</v>
      </c>
      <c r="G1801" s="137"/>
      <c r="H1801" s="67"/>
      <c r="I1801" s="71"/>
      <c r="J1801" s="72">
        <v>350</v>
      </c>
      <c r="K1801" s="88" t="s">
        <v>17</v>
      </c>
      <c r="L1801" s="73"/>
      <c r="M1801" s="11" t="s">
        <v>31</v>
      </c>
    </row>
    <row r="1802" spans="2:13" ht="15" customHeight="1" x14ac:dyDescent="0.25">
      <c r="B1802" s="45" t="s">
        <v>4508</v>
      </c>
      <c r="C1802" s="120">
        <v>45903</v>
      </c>
      <c r="D1802" s="12" t="s">
        <v>2546</v>
      </c>
      <c r="E1802" s="136"/>
      <c r="F1802" s="12" t="s">
        <v>4509</v>
      </c>
      <c r="G1802" s="137"/>
      <c r="H1802" s="67"/>
      <c r="I1802" s="71"/>
      <c r="J1802" s="72">
        <v>694.75</v>
      </c>
      <c r="K1802" s="88" t="s">
        <v>17</v>
      </c>
      <c r="L1802" s="73"/>
      <c r="M1802" s="11" t="s">
        <v>31</v>
      </c>
    </row>
    <row r="1803" spans="2:13" ht="15" customHeight="1" x14ac:dyDescent="0.25">
      <c r="B1803" s="45" t="s">
        <v>4510</v>
      </c>
      <c r="C1803" s="120">
        <v>45903</v>
      </c>
      <c r="D1803" t="s">
        <v>4511</v>
      </c>
      <c r="E1803" s="136"/>
      <c r="F1803" t="s">
        <v>780</v>
      </c>
      <c r="G1803" s="137"/>
      <c r="H1803" s="67"/>
      <c r="I1803" s="71"/>
      <c r="J1803" s="72">
        <v>1775</v>
      </c>
      <c r="K1803" s="88" t="s">
        <v>17</v>
      </c>
      <c r="L1803" s="73"/>
      <c r="M1803" s="11" t="s">
        <v>31</v>
      </c>
    </row>
    <row r="1804" spans="2:13" ht="15" customHeight="1" x14ac:dyDescent="0.25">
      <c r="B1804" s="45" t="s">
        <v>4512</v>
      </c>
      <c r="C1804" s="120">
        <v>45904</v>
      </c>
      <c r="D1804" s="12" t="s">
        <v>211</v>
      </c>
      <c r="E1804" s="136"/>
      <c r="F1804" s="12" t="s">
        <v>4513</v>
      </c>
      <c r="G1804" s="137"/>
      <c r="H1804" s="67"/>
      <c r="I1804" s="71"/>
      <c r="J1804" s="72">
        <v>320</v>
      </c>
      <c r="K1804" s="88" t="s">
        <v>17</v>
      </c>
      <c r="L1804" s="73"/>
      <c r="M1804" s="11" t="s">
        <v>31</v>
      </c>
    </row>
    <row r="1805" spans="2:13" ht="15" customHeight="1" x14ac:dyDescent="0.25">
      <c r="B1805" s="45" t="s">
        <v>4514</v>
      </c>
      <c r="C1805" s="120">
        <v>45904</v>
      </c>
      <c r="D1805" s="12" t="s">
        <v>2687</v>
      </c>
      <c r="E1805" s="136"/>
      <c r="F1805" s="12" t="s">
        <v>780</v>
      </c>
      <c r="G1805" s="137"/>
      <c r="H1805" s="67"/>
      <c r="I1805" s="71"/>
      <c r="J1805" s="72">
        <v>1485</v>
      </c>
      <c r="K1805" s="88" t="s">
        <v>17</v>
      </c>
      <c r="L1805" s="73"/>
      <c r="M1805" s="11" t="s">
        <v>3698</v>
      </c>
    </row>
    <row r="1806" spans="2:13" ht="15" customHeight="1" x14ac:dyDescent="0.25">
      <c r="B1806" s="45" t="s">
        <v>4515</v>
      </c>
      <c r="C1806" s="120">
        <v>45904</v>
      </c>
      <c r="D1806" s="12" t="s">
        <v>639</v>
      </c>
      <c r="E1806" s="136"/>
      <c r="F1806" s="12" t="s">
        <v>4516</v>
      </c>
      <c r="G1806" s="137"/>
      <c r="H1806" s="67"/>
      <c r="I1806" s="71"/>
      <c r="J1806" s="72">
        <v>1549.25</v>
      </c>
      <c r="K1806" s="88" t="s">
        <v>17</v>
      </c>
      <c r="L1806" s="73"/>
      <c r="M1806" s="11" t="s">
        <v>18</v>
      </c>
    </row>
    <row r="1807" spans="2:13" ht="15" customHeight="1" x14ac:dyDescent="0.25">
      <c r="B1807" s="45" t="s">
        <v>4517</v>
      </c>
      <c r="C1807" s="120">
        <v>45904</v>
      </c>
      <c r="D1807" s="12" t="s">
        <v>211</v>
      </c>
      <c r="E1807" s="136"/>
      <c r="F1807" s="12" t="s">
        <v>2308</v>
      </c>
      <c r="G1807" s="137"/>
      <c r="H1807" s="67"/>
      <c r="I1807" s="71"/>
      <c r="J1807" s="72">
        <v>3687.5</v>
      </c>
      <c r="K1807" s="88" t="s">
        <v>17</v>
      </c>
      <c r="L1807" s="73"/>
      <c r="M1807" s="11" t="s">
        <v>18</v>
      </c>
    </row>
    <row r="1808" spans="2:13" ht="15" customHeight="1" x14ac:dyDescent="0.25">
      <c r="B1808" s="45" t="s">
        <v>4518</v>
      </c>
      <c r="C1808" s="120">
        <v>45904</v>
      </c>
      <c r="D1808" s="12" t="s">
        <v>4519</v>
      </c>
      <c r="E1808" s="136"/>
      <c r="F1808" s="12" t="s">
        <v>780</v>
      </c>
      <c r="G1808" s="137"/>
      <c r="H1808" s="67"/>
      <c r="I1808" s="71"/>
      <c r="J1808" s="72">
        <v>6490</v>
      </c>
      <c r="K1808" s="88" t="s">
        <v>17</v>
      </c>
      <c r="L1808" s="73"/>
      <c r="M1808" s="11" t="s">
        <v>3698</v>
      </c>
    </row>
    <row r="1809" spans="2:13" ht="15" customHeight="1" x14ac:dyDescent="0.25">
      <c r="B1809" s="45" t="s">
        <v>4520</v>
      </c>
      <c r="C1809" s="120">
        <v>45910</v>
      </c>
      <c r="D1809" s="12" t="s">
        <v>3734</v>
      </c>
      <c r="E1809" s="136"/>
      <c r="F1809" s="12" t="s">
        <v>4521</v>
      </c>
      <c r="G1809" s="137"/>
      <c r="H1809" s="67"/>
      <c r="I1809" s="71"/>
      <c r="J1809" s="72">
        <v>992.5</v>
      </c>
      <c r="K1809" s="88" t="s">
        <v>17</v>
      </c>
      <c r="L1809" s="73"/>
      <c r="M1809" s="11" t="s">
        <v>31</v>
      </c>
    </row>
    <row r="1810" spans="2:13" ht="15" customHeight="1" x14ac:dyDescent="0.25">
      <c r="B1810" s="45" t="s">
        <v>4522</v>
      </c>
      <c r="C1810" s="120">
        <v>45908</v>
      </c>
      <c r="D1810" s="12" t="s">
        <v>4523</v>
      </c>
      <c r="E1810" s="136"/>
      <c r="F1810" s="12" t="s">
        <v>4524</v>
      </c>
      <c r="G1810" s="137"/>
      <c r="H1810" s="67"/>
      <c r="I1810" s="71"/>
      <c r="J1810" s="72">
        <v>1235</v>
      </c>
      <c r="K1810" s="88" t="s">
        <v>17</v>
      </c>
      <c r="L1810" s="73"/>
      <c r="M1810" s="11" t="s">
        <v>3698</v>
      </c>
    </row>
    <row r="1811" spans="2:13" ht="15" customHeight="1" x14ac:dyDescent="0.25">
      <c r="B1811" s="45" t="s">
        <v>4525</v>
      </c>
      <c r="C1811" s="120">
        <v>45908</v>
      </c>
      <c r="D1811" s="12" t="s">
        <v>3726</v>
      </c>
      <c r="E1811" s="136"/>
      <c r="F1811" s="12" t="s">
        <v>4526</v>
      </c>
      <c r="G1811" s="137"/>
      <c r="H1811" s="67"/>
      <c r="I1811" s="71"/>
      <c r="J1811" s="72">
        <v>120</v>
      </c>
      <c r="K1811" s="88" t="s">
        <v>17</v>
      </c>
      <c r="L1811" s="73"/>
      <c r="M1811" s="11" t="s">
        <v>3698</v>
      </c>
    </row>
    <row r="1812" spans="2:13" ht="15" customHeight="1" x14ac:dyDescent="0.25">
      <c r="B1812" s="45" t="s">
        <v>4527</v>
      </c>
      <c r="C1812" s="120">
        <v>45908</v>
      </c>
      <c r="D1812" s="12" t="s">
        <v>4420</v>
      </c>
      <c r="E1812" s="136"/>
      <c r="F1812" s="12" t="s">
        <v>4528</v>
      </c>
      <c r="G1812" s="137"/>
      <c r="H1812" s="67"/>
      <c r="I1812" s="71"/>
      <c r="J1812" s="72">
        <v>2185</v>
      </c>
      <c r="K1812" s="88" t="s">
        <v>17</v>
      </c>
      <c r="L1812" s="73"/>
      <c r="M1812" s="11" t="s">
        <v>3698</v>
      </c>
    </row>
    <row r="1813" spans="2:13" ht="15" customHeight="1" x14ac:dyDescent="0.25">
      <c r="B1813" s="45" t="s">
        <v>4529</v>
      </c>
      <c r="C1813" s="120">
        <v>45908</v>
      </c>
      <c r="D1813" s="12" t="s">
        <v>4441</v>
      </c>
      <c r="E1813" s="136"/>
      <c r="F1813" s="12" t="s">
        <v>4530</v>
      </c>
      <c r="G1813" s="137"/>
      <c r="H1813" s="67"/>
      <c r="I1813" s="71"/>
      <c r="J1813" s="72">
        <v>812.5</v>
      </c>
      <c r="K1813" s="88" t="s">
        <v>17</v>
      </c>
      <c r="L1813" s="73"/>
      <c r="M1813" s="11" t="s">
        <v>3698</v>
      </c>
    </row>
    <row r="1814" spans="2:13" ht="15" customHeight="1" x14ac:dyDescent="0.25">
      <c r="B1814" s="45" t="s">
        <v>4531</v>
      </c>
      <c r="C1814" s="120">
        <v>45909</v>
      </c>
      <c r="D1814" s="12" t="s">
        <v>574</v>
      </c>
      <c r="E1814" s="136"/>
      <c r="F1814" s="12" t="s">
        <v>4532</v>
      </c>
      <c r="G1814" s="137"/>
      <c r="H1814" s="67"/>
      <c r="I1814" s="71"/>
      <c r="J1814" s="72">
        <v>950</v>
      </c>
      <c r="K1814" s="88" t="s">
        <v>17</v>
      </c>
      <c r="L1814" s="73"/>
      <c r="M1814" s="11" t="s">
        <v>3698</v>
      </c>
    </row>
    <row r="1815" spans="2:13" ht="15" customHeight="1" x14ac:dyDescent="0.25">
      <c r="B1815" s="45" t="s">
        <v>4533</v>
      </c>
      <c r="C1815" s="120">
        <v>45909</v>
      </c>
      <c r="D1815" s="12" t="s">
        <v>3291</v>
      </c>
      <c r="E1815" s="136"/>
      <c r="F1815" s="12" t="s">
        <v>4534</v>
      </c>
      <c r="G1815" s="137"/>
      <c r="H1815" s="67"/>
      <c r="I1815" s="71"/>
      <c r="J1815" s="72">
        <v>964.5</v>
      </c>
      <c r="K1815" s="88" t="s">
        <v>17</v>
      </c>
      <c r="L1815" s="73"/>
      <c r="M1815" s="11" t="s">
        <v>18</v>
      </c>
    </row>
    <row r="1816" spans="2:13" ht="15" customHeight="1" x14ac:dyDescent="0.25">
      <c r="B1816" s="45" t="s">
        <v>4535</v>
      </c>
      <c r="C1816" s="120">
        <v>45909</v>
      </c>
      <c r="D1816" s="12" t="s">
        <v>1060</v>
      </c>
      <c r="E1816" s="136"/>
      <c r="F1816" s="12" t="s">
        <v>4536</v>
      </c>
      <c r="G1816" s="137"/>
      <c r="H1816" s="67"/>
      <c r="I1816" s="71"/>
      <c r="J1816" s="72">
        <v>1310</v>
      </c>
      <c r="K1816" s="88" t="s">
        <v>17</v>
      </c>
      <c r="L1816" s="73"/>
      <c r="M1816" s="11" t="s">
        <v>31</v>
      </c>
    </row>
    <row r="1817" spans="2:13" ht="15" customHeight="1" x14ac:dyDescent="0.25">
      <c r="B1817" s="45" t="s">
        <v>4537</v>
      </c>
      <c r="C1817" s="120">
        <v>45909</v>
      </c>
      <c r="D1817" s="12" t="s">
        <v>1060</v>
      </c>
      <c r="E1817" s="136"/>
      <c r="F1817" s="12" t="s">
        <v>4538</v>
      </c>
      <c r="G1817" s="137"/>
      <c r="H1817" s="67"/>
      <c r="I1817" s="71"/>
      <c r="J1817" s="72">
        <v>2250</v>
      </c>
      <c r="K1817" s="88" t="s">
        <v>17</v>
      </c>
      <c r="L1817" s="73"/>
      <c r="M1817" s="11" t="s">
        <v>31</v>
      </c>
    </row>
    <row r="1818" spans="2:13" ht="15" customHeight="1" x14ac:dyDescent="0.25">
      <c r="B1818" s="45" t="s">
        <v>4539</v>
      </c>
      <c r="C1818" s="120">
        <v>45909</v>
      </c>
      <c r="D1818" s="12" t="s">
        <v>211</v>
      </c>
      <c r="E1818" s="136"/>
      <c r="F1818" s="12" t="s">
        <v>4540</v>
      </c>
      <c r="G1818" s="137"/>
      <c r="H1818" s="67"/>
      <c r="I1818" s="71"/>
      <c r="J1818" s="72">
        <v>160</v>
      </c>
      <c r="K1818" s="88" t="s">
        <v>17</v>
      </c>
      <c r="L1818" s="73"/>
      <c r="M1818" s="11" t="s">
        <v>31</v>
      </c>
    </row>
    <row r="1819" spans="2:13" ht="15" customHeight="1" x14ac:dyDescent="0.25">
      <c r="B1819" s="45" t="s">
        <v>4541</v>
      </c>
      <c r="C1819" s="120">
        <v>45910</v>
      </c>
      <c r="D1819" s="12" t="s">
        <v>211</v>
      </c>
      <c r="E1819" s="136"/>
      <c r="F1819" s="12" t="s">
        <v>4542</v>
      </c>
      <c r="G1819" s="137"/>
      <c r="H1819" s="67"/>
      <c r="I1819" s="71"/>
      <c r="J1819" s="72">
        <v>1370</v>
      </c>
      <c r="K1819" s="88" t="s">
        <v>17</v>
      </c>
      <c r="L1819" s="73"/>
      <c r="M1819" s="11" t="s">
        <v>3698</v>
      </c>
    </row>
    <row r="1820" spans="2:13" ht="15" customHeight="1" x14ac:dyDescent="0.25">
      <c r="B1820" s="45" t="s">
        <v>4543</v>
      </c>
      <c r="C1820" s="120">
        <v>45910</v>
      </c>
      <c r="D1820" s="12" t="s">
        <v>654</v>
      </c>
      <c r="E1820" s="136"/>
      <c r="F1820" s="12" t="s">
        <v>120</v>
      </c>
      <c r="G1820" s="137"/>
      <c r="H1820" s="67"/>
      <c r="I1820" s="71"/>
      <c r="J1820" s="72">
        <v>4200</v>
      </c>
      <c r="K1820" s="88" t="s">
        <v>17</v>
      </c>
      <c r="L1820" s="73"/>
      <c r="M1820" s="11" t="s">
        <v>31</v>
      </c>
    </row>
    <row r="1821" spans="2:13" ht="15" customHeight="1" x14ac:dyDescent="0.25">
      <c r="B1821" s="45" t="s">
        <v>4544</v>
      </c>
      <c r="C1821" s="120">
        <v>45910</v>
      </c>
      <c r="D1821" s="102" t="s">
        <v>4545</v>
      </c>
      <c r="E1821" s="136"/>
      <c r="F1821" s="102" t="s">
        <v>4546</v>
      </c>
      <c r="G1821" s="137"/>
      <c r="H1821" s="67"/>
      <c r="I1821" s="71"/>
      <c r="J1821" s="72">
        <v>190</v>
      </c>
      <c r="K1821" s="88" t="s">
        <v>17</v>
      </c>
      <c r="L1821" s="73"/>
      <c r="M1821" s="11" t="s">
        <v>3698</v>
      </c>
    </row>
    <row r="1822" spans="2:13" ht="15" customHeight="1" x14ac:dyDescent="0.25">
      <c r="B1822" s="45" t="s">
        <v>4547</v>
      </c>
      <c r="C1822" s="120">
        <v>45910</v>
      </c>
      <c r="D1822" s="12" t="s">
        <v>4548</v>
      </c>
      <c r="E1822" s="136"/>
      <c r="F1822" s="12" t="s">
        <v>4549</v>
      </c>
      <c r="G1822" s="137"/>
      <c r="H1822" s="67"/>
      <c r="I1822" s="71"/>
      <c r="J1822" s="72">
        <v>7437.5</v>
      </c>
      <c r="K1822" s="88" t="s">
        <v>17</v>
      </c>
      <c r="L1822" s="73"/>
      <c r="M1822" s="11" t="s">
        <v>18</v>
      </c>
    </row>
    <row r="1823" spans="2:13" ht="15" customHeight="1" x14ac:dyDescent="0.25">
      <c r="B1823" s="45" t="s">
        <v>4550</v>
      </c>
      <c r="C1823" s="120">
        <v>45910</v>
      </c>
      <c r="D1823" s="12" t="s">
        <v>211</v>
      </c>
      <c r="E1823" s="136"/>
      <c r="F1823" s="12" t="s">
        <v>4551</v>
      </c>
      <c r="G1823" s="137"/>
      <c r="H1823" s="67"/>
      <c r="I1823" s="71"/>
      <c r="J1823" s="72">
        <v>700</v>
      </c>
      <c r="K1823" s="88" t="s">
        <v>17</v>
      </c>
      <c r="L1823" s="73"/>
      <c r="M1823" s="11" t="s">
        <v>3698</v>
      </c>
    </row>
    <row r="1824" spans="2:13" ht="15" customHeight="1" x14ac:dyDescent="0.25">
      <c r="B1824" s="45" t="s">
        <v>4552</v>
      </c>
      <c r="C1824" s="120">
        <v>45911</v>
      </c>
      <c r="D1824" s="12" t="s">
        <v>44</v>
      </c>
      <c r="E1824" s="136"/>
      <c r="F1824" s="12" t="s">
        <v>22</v>
      </c>
      <c r="G1824" s="137"/>
      <c r="H1824" s="67"/>
      <c r="I1824" s="71"/>
      <c r="J1824" s="72">
        <v>325</v>
      </c>
      <c r="K1824" s="88" t="s">
        <v>17</v>
      </c>
      <c r="L1824" s="73"/>
      <c r="M1824" s="11" t="s">
        <v>31</v>
      </c>
    </row>
    <row r="1825" spans="2:13" ht="15" customHeight="1" x14ac:dyDescent="0.25">
      <c r="B1825" s="45" t="s">
        <v>4553</v>
      </c>
      <c r="C1825" s="120">
        <v>45911</v>
      </c>
      <c r="D1825" t="s">
        <v>211</v>
      </c>
      <c r="E1825" s="136"/>
      <c r="F1825" t="s">
        <v>4554</v>
      </c>
      <c r="G1825" s="137"/>
      <c r="H1825" s="67"/>
      <c r="I1825" s="71"/>
      <c r="J1825" s="72">
        <v>160</v>
      </c>
      <c r="K1825" s="88" t="s">
        <v>17</v>
      </c>
      <c r="L1825" s="73"/>
      <c r="M1825" s="11" t="s">
        <v>31</v>
      </c>
    </row>
    <row r="1826" spans="2:13" ht="15" customHeight="1" x14ac:dyDescent="0.25">
      <c r="B1826" s="45" t="s">
        <v>4555</v>
      </c>
      <c r="C1826" s="120">
        <v>45911</v>
      </c>
      <c r="D1826" s="12" t="s">
        <v>2754</v>
      </c>
      <c r="E1826" s="136"/>
      <c r="F1826" s="12" t="s">
        <v>1226</v>
      </c>
      <c r="G1826" s="137"/>
      <c r="H1826" s="67"/>
      <c r="I1826" s="71"/>
      <c r="J1826" s="72">
        <v>995</v>
      </c>
      <c r="K1826" s="88" t="s">
        <v>17</v>
      </c>
      <c r="L1826" s="73"/>
      <c r="M1826" s="11" t="s">
        <v>3698</v>
      </c>
    </row>
    <row r="1827" spans="2:13" ht="15" customHeight="1" x14ac:dyDescent="0.25">
      <c r="B1827" s="45" t="s">
        <v>4556</v>
      </c>
      <c r="C1827" s="120">
        <v>45911</v>
      </c>
      <c r="D1827" s="12" t="s">
        <v>1060</v>
      </c>
      <c r="E1827" s="136"/>
      <c r="F1827" s="12" t="s">
        <v>4557</v>
      </c>
      <c r="G1827" s="137"/>
      <c r="H1827" s="67"/>
      <c r="I1827" s="71"/>
      <c r="J1827" s="72">
        <v>475</v>
      </c>
      <c r="K1827" s="88" t="s">
        <v>17</v>
      </c>
      <c r="L1827" s="73"/>
      <c r="M1827" s="11" t="s">
        <v>31</v>
      </c>
    </row>
    <row r="1828" spans="2:13" ht="15" customHeight="1" x14ac:dyDescent="0.25">
      <c r="B1828" s="45" t="s">
        <v>4558</v>
      </c>
      <c r="C1828" s="120">
        <v>45911</v>
      </c>
      <c r="D1828" s="12" t="s">
        <v>27</v>
      </c>
      <c r="E1828" s="136"/>
      <c r="F1828" s="12" t="s">
        <v>4559</v>
      </c>
      <c r="G1828" s="137"/>
      <c r="H1828" s="67"/>
      <c r="I1828" s="71"/>
      <c r="J1828" s="72">
        <v>700</v>
      </c>
      <c r="K1828" s="88" t="s">
        <v>17</v>
      </c>
      <c r="L1828" s="73"/>
      <c r="M1828" s="11" t="s">
        <v>31</v>
      </c>
    </row>
    <row r="1829" spans="2:13" ht="15" customHeight="1" x14ac:dyDescent="0.25">
      <c r="B1829" s="45" t="s">
        <v>4560</v>
      </c>
      <c r="C1829" s="120">
        <v>45911</v>
      </c>
      <c r="D1829" t="s">
        <v>27</v>
      </c>
      <c r="E1829" s="136"/>
      <c r="F1829" s="102" t="s">
        <v>464</v>
      </c>
      <c r="G1829" s="137"/>
      <c r="H1829" s="67"/>
      <c r="I1829" s="71"/>
      <c r="J1829" s="72">
        <v>225</v>
      </c>
      <c r="K1829" s="88" t="s">
        <v>17</v>
      </c>
      <c r="L1829" s="73"/>
      <c r="M1829" s="11" t="s">
        <v>31</v>
      </c>
    </row>
    <row r="1830" spans="2:13" ht="15" customHeight="1" x14ac:dyDescent="0.25">
      <c r="B1830" s="45" t="s">
        <v>4561</v>
      </c>
      <c r="C1830" s="120">
        <v>45912</v>
      </c>
      <c r="D1830" s="12" t="s">
        <v>1060</v>
      </c>
      <c r="E1830" s="136"/>
      <c r="F1830" s="12" t="s">
        <v>4562</v>
      </c>
      <c r="G1830" s="137"/>
      <c r="H1830" s="67"/>
      <c r="I1830" s="71"/>
      <c r="J1830" s="72">
        <v>62975</v>
      </c>
      <c r="K1830" s="88" t="s">
        <v>17</v>
      </c>
      <c r="L1830" s="73"/>
      <c r="M1830" s="11" t="s">
        <v>31</v>
      </c>
    </row>
    <row r="1831" spans="2:13" ht="15" customHeight="1" x14ac:dyDescent="0.25">
      <c r="B1831" s="45" t="s">
        <v>4563</v>
      </c>
      <c r="C1831" s="120">
        <v>45912</v>
      </c>
      <c r="D1831" s="12" t="s">
        <v>4564</v>
      </c>
      <c r="E1831" s="136"/>
      <c r="F1831" s="12" t="s">
        <v>4565</v>
      </c>
      <c r="G1831" s="137"/>
      <c r="H1831" s="67"/>
      <c r="I1831" s="71"/>
      <c r="J1831" s="72">
        <v>1535</v>
      </c>
      <c r="K1831" s="88" t="s">
        <v>17</v>
      </c>
      <c r="L1831" s="73"/>
      <c r="M1831" s="11" t="s">
        <v>31</v>
      </c>
    </row>
    <row r="1832" spans="2:13" ht="15" customHeight="1" x14ac:dyDescent="0.25">
      <c r="B1832" s="45" t="s">
        <v>4566</v>
      </c>
      <c r="C1832" s="120">
        <v>45912</v>
      </c>
      <c r="D1832" s="12" t="s">
        <v>4564</v>
      </c>
      <c r="E1832" s="136"/>
      <c r="F1832" s="12" t="s">
        <v>22</v>
      </c>
      <c r="G1832" s="137"/>
      <c r="H1832" s="67"/>
      <c r="I1832" s="71"/>
      <c r="J1832" s="72">
        <v>125</v>
      </c>
      <c r="K1832" s="88" t="s">
        <v>17</v>
      </c>
      <c r="L1832" s="73"/>
      <c r="M1832" s="11" t="s">
        <v>31</v>
      </c>
    </row>
    <row r="1833" spans="2:13" ht="15" customHeight="1" x14ac:dyDescent="0.25">
      <c r="B1833" s="45" t="s">
        <v>4567</v>
      </c>
      <c r="C1833" s="120">
        <v>45913</v>
      </c>
      <c r="D1833" s="102" t="s">
        <v>27</v>
      </c>
      <c r="E1833" s="136"/>
      <c r="F1833" s="12" t="s">
        <v>4568</v>
      </c>
      <c r="G1833" s="137"/>
      <c r="H1833" s="67"/>
      <c r="I1833" s="71"/>
      <c r="J1833" s="72">
        <v>650</v>
      </c>
      <c r="K1833" s="88" t="s">
        <v>17</v>
      </c>
      <c r="L1833" s="73"/>
      <c r="M1833" s="11" t="s">
        <v>31</v>
      </c>
    </row>
    <row r="1834" spans="2:13" ht="15" customHeight="1" x14ac:dyDescent="0.25">
      <c r="B1834" s="45" t="s">
        <v>4569</v>
      </c>
      <c r="C1834" s="120">
        <v>45915</v>
      </c>
      <c r="D1834" s="12" t="s">
        <v>3851</v>
      </c>
      <c r="E1834" s="136"/>
      <c r="F1834" s="12" t="s">
        <v>4570</v>
      </c>
      <c r="G1834" s="137"/>
      <c r="H1834" s="67"/>
      <c r="I1834" s="71"/>
      <c r="J1834" s="72">
        <v>1185</v>
      </c>
      <c r="K1834" s="88" t="s">
        <v>17</v>
      </c>
      <c r="L1834" s="73"/>
      <c r="M1834" s="11" t="s">
        <v>3698</v>
      </c>
    </row>
    <row r="1835" spans="2:13" ht="15" customHeight="1" x14ac:dyDescent="0.25">
      <c r="B1835" s="45" t="s">
        <v>4571</v>
      </c>
      <c r="C1835" s="120">
        <v>45915</v>
      </c>
      <c r="D1835" s="12" t="s">
        <v>716</v>
      </c>
      <c r="E1835" s="136"/>
      <c r="F1835" s="12" t="s">
        <v>4572</v>
      </c>
      <c r="G1835" s="137"/>
      <c r="H1835" s="67"/>
      <c r="I1835" s="71"/>
      <c r="J1835" s="72">
        <v>4050</v>
      </c>
      <c r="K1835" s="88" t="s">
        <v>17</v>
      </c>
      <c r="L1835" s="73"/>
      <c r="M1835" s="11" t="s">
        <v>3698</v>
      </c>
    </row>
    <row r="1836" spans="2:13" ht="15" customHeight="1" x14ac:dyDescent="0.25">
      <c r="B1836" s="45" t="s">
        <v>4573</v>
      </c>
      <c r="C1836" s="120">
        <v>45916</v>
      </c>
      <c r="D1836" s="12" t="s">
        <v>4574</v>
      </c>
      <c r="E1836" s="136"/>
      <c r="F1836" s="12" t="s">
        <v>780</v>
      </c>
      <c r="G1836" s="137"/>
      <c r="H1836" s="67"/>
      <c r="I1836" s="71"/>
      <c r="J1836" s="72">
        <v>1945.35</v>
      </c>
      <c r="K1836" s="88" t="s">
        <v>1874</v>
      </c>
      <c r="L1836" s="73"/>
      <c r="M1836" s="11" t="s">
        <v>3698</v>
      </c>
    </row>
    <row r="1837" spans="2:13" ht="15" customHeight="1" x14ac:dyDescent="0.25">
      <c r="B1837" s="45" t="s">
        <v>4575</v>
      </c>
      <c r="C1837" s="120">
        <v>45916</v>
      </c>
      <c r="D1837" s="12" t="s">
        <v>564</v>
      </c>
      <c r="E1837" s="136"/>
      <c r="F1837" s="12" t="s">
        <v>4576</v>
      </c>
      <c r="G1837" s="137"/>
      <c r="H1837" s="67"/>
      <c r="I1837" s="71"/>
      <c r="J1837" s="72">
        <v>4455</v>
      </c>
      <c r="K1837" s="88" t="s">
        <v>17</v>
      </c>
      <c r="L1837" s="73"/>
      <c r="M1837" s="11" t="s">
        <v>31</v>
      </c>
    </row>
    <row r="1838" spans="2:13" ht="15" customHeight="1" x14ac:dyDescent="0.25">
      <c r="B1838" s="45" t="s">
        <v>4577</v>
      </c>
      <c r="C1838" s="120">
        <v>45917</v>
      </c>
      <c r="D1838" s="12" t="s">
        <v>211</v>
      </c>
      <c r="E1838" s="136"/>
      <c r="F1838" s="12" t="s">
        <v>4578</v>
      </c>
      <c r="G1838" s="137"/>
      <c r="H1838" s="67"/>
      <c r="I1838" s="71"/>
      <c r="J1838" s="72">
        <v>415</v>
      </c>
      <c r="K1838" s="88" t="s">
        <v>17</v>
      </c>
      <c r="L1838" s="73"/>
      <c r="M1838" s="11" t="s">
        <v>18</v>
      </c>
    </row>
    <row r="1839" spans="2:13" ht="15" customHeight="1" x14ac:dyDescent="0.25">
      <c r="B1839" s="45" t="s">
        <v>4579</v>
      </c>
      <c r="C1839" s="120">
        <v>45917</v>
      </c>
      <c r="D1839" t="s">
        <v>4580</v>
      </c>
      <c r="E1839" s="136"/>
      <c r="F1839" s="12" t="s">
        <v>4581</v>
      </c>
      <c r="G1839" s="137"/>
      <c r="H1839" s="67"/>
      <c r="I1839" s="71"/>
      <c r="J1839" s="72">
        <v>193.25</v>
      </c>
      <c r="K1839" s="88" t="s">
        <v>1874</v>
      </c>
      <c r="L1839" s="73"/>
      <c r="M1839" s="11" t="s">
        <v>31</v>
      </c>
    </row>
    <row r="1840" spans="2:13" ht="15" customHeight="1" x14ac:dyDescent="0.25">
      <c r="B1840" s="45" t="s">
        <v>4582</v>
      </c>
      <c r="C1840" s="120">
        <v>45917</v>
      </c>
      <c r="D1840" s="12" t="s">
        <v>1060</v>
      </c>
      <c r="E1840" s="136"/>
      <c r="F1840" t="s">
        <v>4583</v>
      </c>
      <c r="G1840" s="137"/>
      <c r="H1840" s="67"/>
      <c r="I1840" s="71"/>
      <c r="J1840" s="72">
        <v>360</v>
      </c>
      <c r="K1840" s="88" t="s">
        <v>17</v>
      </c>
      <c r="L1840" s="73"/>
      <c r="M1840" s="11" t="s">
        <v>31</v>
      </c>
    </row>
    <row r="1841" spans="2:13" ht="15" customHeight="1" x14ac:dyDescent="0.25">
      <c r="B1841" s="45" t="s">
        <v>4584</v>
      </c>
      <c r="C1841" s="120">
        <v>45917</v>
      </c>
      <c r="D1841" s="12" t="s">
        <v>4580</v>
      </c>
      <c r="E1841" s="136"/>
      <c r="F1841" s="12" t="s">
        <v>4585</v>
      </c>
      <c r="G1841" s="137"/>
      <c r="H1841" s="67"/>
      <c r="I1841" s="71"/>
      <c r="J1841" s="72">
        <v>6960</v>
      </c>
      <c r="K1841" s="88" t="s">
        <v>1874</v>
      </c>
      <c r="L1841" s="73"/>
      <c r="M1841" s="11" t="s">
        <v>18</v>
      </c>
    </row>
    <row r="1842" spans="2:13" ht="15" customHeight="1" x14ac:dyDescent="0.25">
      <c r="B1842" s="45" t="s">
        <v>4586</v>
      </c>
      <c r="C1842" s="120">
        <v>45917</v>
      </c>
      <c r="D1842" s="12" t="s">
        <v>4587</v>
      </c>
      <c r="E1842" s="136"/>
      <c r="F1842" s="12"/>
      <c r="G1842" s="137"/>
      <c r="H1842" s="67"/>
      <c r="I1842" s="71"/>
      <c r="J1842" s="72"/>
      <c r="K1842" s="88" t="s">
        <v>17</v>
      </c>
      <c r="L1842" s="73"/>
      <c r="M1842" s="11" t="s">
        <v>3341</v>
      </c>
    </row>
    <row r="1843" spans="2:13" ht="15" customHeight="1" x14ac:dyDescent="0.25">
      <c r="B1843" s="45" t="s">
        <v>4588</v>
      </c>
      <c r="C1843" s="120">
        <v>45917</v>
      </c>
      <c r="D1843" s="12" t="s">
        <v>1060</v>
      </c>
      <c r="E1843" s="136"/>
      <c r="F1843" s="12" t="s">
        <v>4589</v>
      </c>
      <c r="G1843" s="137"/>
      <c r="H1843" s="67"/>
      <c r="I1843" s="71"/>
      <c r="J1843" s="72">
        <v>2776.75</v>
      </c>
      <c r="K1843" s="88" t="s">
        <v>17</v>
      </c>
      <c r="L1843" s="73"/>
      <c r="M1843" s="11" t="s">
        <v>31</v>
      </c>
    </row>
    <row r="1844" spans="2:13" ht="15" customHeight="1" x14ac:dyDescent="0.25">
      <c r="B1844" s="45" t="s">
        <v>4590</v>
      </c>
      <c r="C1844" s="120">
        <v>45917</v>
      </c>
      <c r="D1844" s="12" t="s">
        <v>4591</v>
      </c>
      <c r="E1844" s="136"/>
      <c r="F1844" s="12" t="s">
        <v>790</v>
      </c>
      <c r="G1844" s="137"/>
      <c r="H1844" s="67"/>
      <c r="I1844" s="71"/>
      <c r="J1844" s="72">
        <v>120</v>
      </c>
      <c r="K1844" s="88" t="s">
        <v>17</v>
      </c>
      <c r="L1844" s="73"/>
      <c r="M1844" s="11" t="s">
        <v>31</v>
      </c>
    </row>
    <row r="1845" spans="2:13" ht="15" customHeight="1" x14ac:dyDescent="0.25">
      <c r="B1845" s="45" t="s">
        <v>4592</v>
      </c>
      <c r="C1845" s="120">
        <v>45919</v>
      </c>
      <c r="D1845" s="12" t="s">
        <v>426</v>
      </c>
      <c r="E1845" s="136"/>
      <c r="F1845" s="12" t="s">
        <v>4593</v>
      </c>
      <c r="G1845" s="137"/>
      <c r="H1845" s="67"/>
      <c r="I1845" s="71"/>
      <c r="J1845" s="72">
        <v>1675</v>
      </c>
      <c r="K1845" s="88" t="s">
        <v>17</v>
      </c>
      <c r="L1845" s="73"/>
      <c r="M1845" s="11" t="s">
        <v>31</v>
      </c>
    </row>
    <row r="1846" spans="2:13" ht="15" customHeight="1" x14ac:dyDescent="0.25">
      <c r="B1846" s="45" t="s">
        <v>4594</v>
      </c>
      <c r="C1846" s="120">
        <v>45919</v>
      </c>
      <c r="D1846" s="12" t="s">
        <v>4595</v>
      </c>
      <c r="E1846" s="136"/>
      <c r="F1846" s="12" t="s">
        <v>4596</v>
      </c>
      <c r="G1846" s="137"/>
      <c r="H1846" s="67"/>
      <c r="I1846" s="71"/>
      <c r="J1846" s="72">
        <v>7100</v>
      </c>
      <c r="K1846" s="88" t="s">
        <v>17</v>
      </c>
      <c r="L1846" s="73"/>
      <c r="M1846" s="11" t="s">
        <v>3698</v>
      </c>
    </row>
    <row r="1847" spans="2:13" x14ac:dyDescent="0.25">
      <c r="B1847" s="45" t="s">
        <v>4597</v>
      </c>
      <c r="C1847" s="120">
        <v>45919</v>
      </c>
      <c r="D1847" s="12" t="s">
        <v>4598</v>
      </c>
      <c r="E1847" s="136"/>
      <c r="F1847" s="12" t="s">
        <v>4599</v>
      </c>
      <c r="G1847" s="137"/>
      <c r="H1847" s="67"/>
      <c r="I1847" s="71"/>
      <c r="J1847" s="72">
        <v>4337.5</v>
      </c>
      <c r="K1847" s="88" t="s">
        <v>17</v>
      </c>
      <c r="L1847" s="73"/>
      <c r="M1847" s="11" t="s">
        <v>31</v>
      </c>
    </row>
    <row r="1848" spans="2:13" x14ac:dyDescent="0.25">
      <c r="B1848" s="45"/>
      <c r="C1848" s="120"/>
      <c r="D1848" s="12"/>
      <c r="E1848" s="136"/>
      <c r="F1848" s="12"/>
      <c r="G1848" s="137"/>
      <c r="H1848" s="67"/>
      <c r="I1848" s="71"/>
      <c r="J1848" s="72"/>
      <c r="K1848" s="88"/>
      <c r="L1848" s="73"/>
      <c r="M1848" s="11"/>
    </row>
    <row r="1849" spans="2:13" x14ac:dyDescent="0.25">
      <c r="B1849" s="45" t="s">
        <v>4600</v>
      </c>
      <c r="C1849" s="120">
        <v>45919</v>
      </c>
      <c r="D1849" s="12" t="s">
        <v>639</v>
      </c>
      <c r="E1849" s="136"/>
      <c r="F1849" s="12" t="s">
        <v>4601</v>
      </c>
      <c r="G1849" s="137"/>
      <c r="H1849" s="67"/>
      <c r="I1849" s="71"/>
      <c r="J1849" s="72">
        <v>4161.3999999999996</v>
      </c>
      <c r="K1849" s="88" t="s">
        <v>17</v>
      </c>
      <c r="L1849" s="73"/>
      <c r="M1849" s="11" t="s">
        <v>31</v>
      </c>
    </row>
    <row r="1850" spans="2:13" x14ac:dyDescent="0.25">
      <c r="B1850" s="45" t="s">
        <v>4602</v>
      </c>
      <c r="C1850" s="120">
        <v>45922</v>
      </c>
      <c r="D1850" s="12" t="s">
        <v>1060</v>
      </c>
      <c r="E1850" s="136"/>
      <c r="F1850" s="12" t="s">
        <v>160</v>
      </c>
      <c r="G1850" s="137"/>
      <c r="H1850" s="67"/>
      <c r="I1850" s="71"/>
      <c r="J1850" s="72">
        <v>375</v>
      </c>
      <c r="K1850" s="88" t="s">
        <v>17</v>
      </c>
      <c r="L1850" s="73"/>
      <c r="M1850" s="11" t="s">
        <v>31</v>
      </c>
    </row>
    <row r="1851" spans="2:13" x14ac:dyDescent="0.25">
      <c r="B1851" s="45" t="s">
        <v>4603</v>
      </c>
      <c r="C1851" s="120">
        <v>45923</v>
      </c>
      <c r="D1851" s="12" t="s">
        <v>211</v>
      </c>
      <c r="E1851" s="136"/>
      <c r="F1851" s="12" t="s">
        <v>1212</v>
      </c>
      <c r="G1851" s="137"/>
      <c r="H1851" s="67"/>
      <c r="I1851" s="71"/>
      <c r="J1851" s="72">
        <v>300</v>
      </c>
      <c r="K1851" s="88" t="s">
        <v>17</v>
      </c>
      <c r="L1851" s="73"/>
      <c r="M1851" s="11" t="s">
        <v>31</v>
      </c>
    </row>
    <row r="1852" spans="2:13" ht="15" customHeight="1" x14ac:dyDescent="0.25">
      <c r="B1852" s="45" t="s">
        <v>4604</v>
      </c>
      <c r="C1852" s="120">
        <v>45923</v>
      </c>
      <c r="D1852" s="12" t="s">
        <v>3395</v>
      </c>
      <c r="E1852" s="136"/>
      <c r="F1852" s="12" t="s">
        <v>4605</v>
      </c>
      <c r="G1852" s="137"/>
      <c r="H1852" s="67"/>
      <c r="I1852" s="71"/>
      <c r="J1852" s="72">
        <v>120</v>
      </c>
      <c r="K1852" s="88" t="s">
        <v>17</v>
      </c>
      <c r="L1852" s="73"/>
      <c r="M1852" s="11" t="s">
        <v>3698</v>
      </c>
    </row>
    <row r="1853" spans="2:13" ht="15" customHeight="1" x14ac:dyDescent="0.25">
      <c r="B1853" s="45" t="s">
        <v>4606</v>
      </c>
      <c r="C1853" s="120">
        <v>45923</v>
      </c>
      <c r="D1853" s="12" t="s">
        <v>574</v>
      </c>
      <c r="E1853" s="136"/>
      <c r="F1853" s="12" t="s">
        <v>4607</v>
      </c>
      <c r="G1853" s="137"/>
      <c r="H1853" s="67"/>
      <c r="I1853" s="71"/>
      <c r="J1853" s="72">
        <v>11715</v>
      </c>
      <c r="K1853" s="88" t="s">
        <v>17</v>
      </c>
      <c r="L1853" s="73"/>
      <c r="M1853" s="11" t="s">
        <v>3698</v>
      </c>
    </row>
    <row r="1854" spans="2:13" ht="15" customHeight="1" x14ac:dyDescent="0.25">
      <c r="B1854" s="45" t="s">
        <v>4608</v>
      </c>
      <c r="C1854" s="120">
        <v>45923</v>
      </c>
      <c r="D1854" s="12" t="s">
        <v>4609</v>
      </c>
      <c r="E1854" s="136"/>
      <c r="F1854" s="12" t="s">
        <v>4610</v>
      </c>
      <c r="G1854" s="137"/>
      <c r="H1854" s="67"/>
      <c r="I1854" s="71"/>
      <c r="J1854" s="72">
        <v>7135</v>
      </c>
      <c r="K1854" s="88" t="s">
        <v>1874</v>
      </c>
      <c r="L1854" s="73"/>
      <c r="M1854" s="11" t="s">
        <v>3698</v>
      </c>
    </row>
    <row r="1855" spans="2:13" ht="15" customHeight="1" x14ac:dyDescent="0.25">
      <c r="B1855" s="45" t="s">
        <v>4611</v>
      </c>
      <c r="C1855" s="120">
        <v>45923</v>
      </c>
      <c r="D1855" t="s">
        <v>4612</v>
      </c>
      <c r="E1855" s="136"/>
      <c r="F1855" s="12" t="s">
        <v>4613</v>
      </c>
      <c r="G1855" s="137"/>
      <c r="H1855" s="67"/>
      <c r="I1855" s="71"/>
      <c r="J1855" s="72">
        <v>7125</v>
      </c>
      <c r="K1855" s="88" t="s">
        <v>3625</v>
      </c>
      <c r="L1855" s="73"/>
      <c r="M1855" s="11" t="s">
        <v>31</v>
      </c>
    </row>
    <row r="1856" spans="2:13" ht="15" customHeight="1" x14ac:dyDescent="0.25">
      <c r="B1856" s="45" t="s">
        <v>4614</v>
      </c>
      <c r="C1856" s="120">
        <v>45923</v>
      </c>
      <c r="D1856" s="12" t="s">
        <v>1043</v>
      </c>
      <c r="E1856" s="136"/>
      <c r="F1856" s="12" t="s">
        <v>393</v>
      </c>
      <c r="G1856" s="137"/>
      <c r="H1856" s="67"/>
      <c r="I1856" s="71"/>
      <c r="J1856" s="72">
        <v>1895</v>
      </c>
      <c r="K1856" s="88" t="s">
        <v>17</v>
      </c>
      <c r="L1856" s="73"/>
      <c r="M1856" s="11" t="s">
        <v>3698</v>
      </c>
    </row>
    <row r="1857" spans="2:13" ht="15" customHeight="1" x14ac:dyDescent="0.25">
      <c r="B1857" s="45" t="s">
        <v>4615</v>
      </c>
      <c r="C1857" s="120">
        <v>45924</v>
      </c>
      <c r="D1857" s="12" t="s">
        <v>3646</v>
      </c>
      <c r="E1857" s="136"/>
      <c r="F1857" s="12" t="s">
        <v>4616</v>
      </c>
      <c r="G1857" s="137"/>
      <c r="H1857" s="67"/>
      <c r="I1857" s="71"/>
      <c r="J1857" s="72">
        <v>550</v>
      </c>
      <c r="K1857" s="88" t="s">
        <v>3625</v>
      </c>
      <c r="L1857" s="73"/>
      <c r="M1857" s="11" t="s">
        <v>18</v>
      </c>
    </row>
    <row r="1858" spans="2:13" ht="15" customHeight="1" x14ac:dyDescent="0.25">
      <c r="B1858" s="45" t="s">
        <v>4617</v>
      </c>
      <c r="C1858" s="120">
        <v>45925</v>
      </c>
      <c r="D1858" s="12" t="s">
        <v>4115</v>
      </c>
      <c r="E1858" s="136"/>
      <c r="F1858" s="12" t="s">
        <v>4618</v>
      </c>
      <c r="G1858" s="137"/>
      <c r="H1858" s="67"/>
      <c r="I1858" s="71"/>
      <c r="J1858" s="72">
        <v>68256</v>
      </c>
      <c r="K1858" s="88" t="s">
        <v>17</v>
      </c>
      <c r="L1858" s="73"/>
      <c r="M1858" s="11" t="s">
        <v>18</v>
      </c>
    </row>
    <row r="1859" spans="2:13" ht="15" customHeight="1" x14ac:dyDescent="0.25">
      <c r="B1859" s="45" t="s">
        <v>4619</v>
      </c>
      <c r="C1859" s="120">
        <v>45925</v>
      </c>
      <c r="D1859" s="12" t="s">
        <v>241</v>
      </c>
      <c r="E1859" s="136"/>
      <c r="F1859" s="12" t="s">
        <v>4620</v>
      </c>
      <c r="G1859" s="137"/>
      <c r="H1859" s="67"/>
      <c r="I1859" s="71"/>
      <c r="J1859" s="72">
        <v>405</v>
      </c>
      <c r="K1859" s="88" t="s">
        <v>17</v>
      </c>
      <c r="L1859" s="73"/>
      <c r="M1859" s="11" t="s">
        <v>31</v>
      </c>
    </row>
    <row r="1860" spans="2:13" ht="15" customHeight="1" x14ac:dyDescent="0.25">
      <c r="B1860" s="45" t="s">
        <v>4621</v>
      </c>
      <c r="C1860" s="120">
        <v>45925</v>
      </c>
      <c r="D1860" s="12" t="s">
        <v>4096</v>
      </c>
      <c r="E1860" s="136"/>
      <c r="F1860" s="12" t="s">
        <v>4622</v>
      </c>
      <c r="G1860" s="137"/>
      <c r="H1860" s="67"/>
      <c r="I1860" s="71"/>
      <c r="J1860" s="72">
        <v>435</v>
      </c>
      <c r="K1860" s="88" t="s">
        <v>1874</v>
      </c>
      <c r="L1860" s="73"/>
      <c r="M1860" s="11" t="s">
        <v>31</v>
      </c>
    </row>
    <row r="1861" spans="2:13" ht="15" customHeight="1" x14ac:dyDescent="0.25">
      <c r="B1861" s="45" t="s">
        <v>4623</v>
      </c>
      <c r="C1861" s="120">
        <v>45925</v>
      </c>
      <c r="D1861" s="12" t="s">
        <v>574</v>
      </c>
      <c r="E1861" s="136"/>
      <c r="F1861" s="12" t="s">
        <v>4624</v>
      </c>
      <c r="G1861" s="137"/>
      <c r="H1861" s="67"/>
      <c r="I1861" s="71"/>
      <c r="J1861" s="72">
        <v>4750</v>
      </c>
      <c r="K1861" s="88" t="s">
        <v>17</v>
      </c>
      <c r="L1861" s="73"/>
      <c r="M1861" s="11" t="s">
        <v>3698</v>
      </c>
    </row>
    <row r="1862" spans="2:13" ht="15" customHeight="1" x14ac:dyDescent="0.25">
      <c r="B1862" s="45" t="s">
        <v>4625</v>
      </c>
      <c r="C1862" s="120">
        <v>45925</v>
      </c>
      <c r="D1862" s="12" t="s">
        <v>27</v>
      </c>
      <c r="E1862" s="136"/>
      <c r="F1862" s="12" t="s">
        <v>4151</v>
      </c>
      <c r="G1862" s="137"/>
      <c r="H1862" s="67"/>
      <c r="I1862" s="71"/>
      <c r="J1862" s="72">
        <v>1125</v>
      </c>
      <c r="K1862" s="88" t="s">
        <v>17</v>
      </c>
      <c r="L1862" s="73"/>
      <c r="M1862" s="11" t="s">
        <v>3698</v>
      </c>
    </row>
    <row r="1863" spans="2:13" ht="15" customHeight="1" x14ac:dyDescent="0.25">
      <c r="B1863" s="45" t="s">
        <v>4626</v>
      </c>
      <c r="C1863" s="120">
        <v>45925</v>
      </c>
      <c r="D1863" s="12" t="s">
        <v>211</v>
      </c>
      <c r="E1863" s="136"/>
      <c r="F1863" s="12" t="s">
        <v>4627</v>
      </c>
      <c r="G1863" s="137"/>
      <c r="H1863" s="67"/>
      <c r="I1863" s="71"/>
      <c r="J1863" s="72">
        <v>95</v>
      </c>
      <c r="K1863" s="88" t="s">
        <v>17</v>
      </c>
      <c r="L1863" s="73"/>
      <c r="M1863" s="11" t="s">
        <v>3698</v>
      </c>
    </row>
    <row r="1864" spans="2:13" ht="15" customHeight="1" x14ac:dyDescent="0.25">
      <c r="B1864" s="45" t="s">
        <v>4628</v>
      </c>
      <c r="C1864" s="120">
        <v>45926</v>
      </c>
      <c r="D1864" s="12" t="s">
        <v>4629</v>
      </c>
      <c r="E1864" s="136"/>
      <c r="F1864" s="12" t="s">
        <v>4630</v>
      </c>
      <c r="G1864" s="137"/>
      <c r="H1864" s="67"/>
      <c r="I1864" s="71"/>
      <c r="J1864" s="72">
        <v>8784</v>
      </c>
      <c r="K1864" s="88" t="s">
        <v>3261</v>
      </c>
      <c r="L1864" s="73"/>
      <c r="M1864" s="11" t="s">
        <v>3698</v>
      </c>
    </row>
    <row r="1865" spans="2:13" ht="15" customHeight="1" x14ac:dyDescent="0.25">
      <c r="B1865" s="45" t="s">
        <v>4631</v>
      </c>
      <c r="C1865" s="120">
        <v>45926</v>
      </c>
      <c r="D1865" s="12" t="s">
        <v>4632</v>
      </c>
      <c r="E1865" s="136"/>
      <c r="F1865" s="12" t="s">
        <v>4633</v>
      </c>
      <c r="G1865" s="137"/>
      <c r="H1865" s="67"/>
      <c r="I1865" s="71"/>
      <c r="J1865" s="72">
        <v>2720</v>
      </c>
      <c r="K1865" s="88" t="s">
        <v>17</v>
      </c>
      <c r="L1865" s="73"/>
      <c r="M1865" s="11" t="s">
        <v>3698</v>
      </c>
    </row>
    <row r="1866" spans="2:13" ht="15" customHeight="1" x14ac:dyDescent="0.25">
      <c r="B1866" s="45" t="s">
        <v>4634</v>
      </c>
      <c r="C1866" s="120">
        <v>45926</v>
      </c>
      <c r="D1866" s="12" t="s">
        <v>297</v>
      </c>
      <c r="E1866" s="136"/>
      <c r="F1866" s="12" t="s">
        <v>4635</v>
      </c>
      <c r="G1866" s="137"/>
      <c r="H1866" s="67"/>
      <c r="I1866" s="71"/>
      <c r="J1866" s="72">
        <v>4545</v>
      </c>
      <c r="K1866" s="88" t="s">
        <v>17</v>
      </c>
      <c r="L1866" s="73"/>
      <c r="M1866" s="11" t="s">
        <v>3698</v>
      </c>
    </row>
    <row r="1867" spans="2:13" ht="15" customHeight="1" x14ac:dyDescent="0.25">
      <c r="B1867" s="45" t="s">
        <v>4636</v>
      </c>
      <c r="C1867" s="120">
        <v>45926</v>
      </c>
      <c r="D1867" s="12" t="s">
        <v>27</v>
      </c>
      <c r="E1867" s="136"/>
      <c r="F1867" s="12" t="s">
        <v>511</v>
      </c>
      <c r="G1867" s="137"/>
      <c r="H1867" s="67"/>
      <c r="I1867" s="71"/>
      <c r="J1867" s="72">
        <v>650</v>
      </c>
      <c r="K1867" s="88" t="s">
        <v>17</v>
      </c>
      <c r="L1867" s="73"/>
      <c r="M1867" s="11" t="s">
        <v>31</v>
      </c>
    </row>
    <row r="1868" spans="2:13" ht="15" customHeight="1" x14ac:dyDescent="0.25">
      <c r="B1868" s="45" t="s">
        <v>4637</v>
      </c>
      <c r="C1868" s="120">
        <v>45937</v>
      </c>
      <c r="D1868" s="12" t="s">
        <v>4466</v>
      </c>
      <c r="E1868" s="136"/>
      <c r="F1868" s="12" t="s">
        <v>66</v>
      </c>
      <c r="G1868" s="137"/>
      <c r="H1868" s="67"/>
      <c r="I1868" s="71"/>
      <c r="J1868" s="72">
        <v>1305.45</v>
      </c>
      <c r="K1868" s="88" t="s">
        <v>17</v>
      </c>
      <c r="L1868" s="73"/>
      <c r="M1868" s="11" t="s">
        <v>31</v>
      </c>
    </row>
    <row r="1869" spans="2:13" ht="15" customHeight="1" x14ac:dyDescent="0.25">
      <c r="B1869" s="45" t="s">
        <v>4638</v>
      </c>
      <c r="C1869" s="120">
        <v>45926</v>
      </c>
      <c r="D1869" s="12" t="s">
        <v>4639</v>
      </c>
      <c r="E1869" s="136"/>
      <c r="F1869" s="12" t="s">
        <v>2674</v>
      </c>
      <c r="G1869" s="137"/>
      <c r="H1869" s="67"/>
      <c r="I1869" s="71"/>
      <c r="J1869" s="72">
        <v>158</v>
      </c>
      <c r="K1869" s="88" t="s">
        <v>3625</v>
      </c>
      <c r="L1869" s="73"/>
      <c r="M1869" s="11" t="s">
        <v>31</v>
      </c>
    </row>
    <row r="1870" spans="2:13" ht="15" customHeight="1" x14ac:dyDescent="0.25">
      <c r="B1870" s="45" t="s">
        <v>4640</v>
      </c>
      <c r="C1870" s="120">
        <v>45926</v>
      </c>
      <c r="D1870" s="12" t="s">
        <v>4641</v>
      </c>
      <c r="E1870" s="136"/>
      <c r="F1870" s="12" t="s">
        <v>511</v>
      </c>
      <c r="G1870" s="137"/>
      <c r="H1870" s="67"/>
      <c r="I1870" s="71"/>
      <c r="J1870" s="72">
        <v>625</v>
      </c>
      <c r="K1870" s="88" t="s">
        <v>17</v>
      </c>
      <c r="L1870" s="73"/>
      <c r="M1870" s="11" t="s">
        <v>31</v>
      </c>
    </row>
    <row r="1871" spans="2:13" ht="15" customHeight="1" x14ac:dyDescent="0.25">
      <c r="B1871" s="45" t="s">
        <v>4642</v>
      </c>
      <c r="C1871" s="120">
        <v>45930</v>
      </c>
      <c r="D1871" s="12" t="s">
        <v>211</v>
      </c>
      <c r="E1871" s="136"/>
      <c r="F1871" s="12" t="s">
        <v>2308</v>
      </c>
      <c r="G1871" s="137"/>
      <c r="H1871" s="67"/>
      <c r="I1871" s="71"/>
      <c r="J1871" s="72">
        <v>23875</v>
      </c>
      <c r="K1871" s="88" t="s">
        <v>17</v>
      </c>
      <c r="L1871" s="73"/>
      <c r="M1871" s="11" t="s">
        <v>31</v>
      </c>
    </row>
    <row r="1872" spans="2:13" ht="15" customHeight="1" x14ac:dyDescent="0.25">
      <c r="B1872" s="45" t="s">
        <v>4643</v>
      </c>
      <c r="C1872" s="120">
        <v>45927</v>
      </c>
      <c r="D1872" s="12" t="s">
        <v>639</v>
      </c>
      <c r="E1872" s="136"/>
      <c r="F1872" s="12" t="s">
        <v>4644</v>
      </c>
      <c r="G1872" s="137"/>
      <c r="H1872" s="67"/>
      <c r="I1872" s="71"/>
      <c r="J1872" s="72">
        <v>685</v>
      </c>
      <c r="K1872" s="88" t="s">
        <v>17</v>
      </c>
      <c r="L1872" s="73"/>
      <c r="M1872" s="11" t="s">
        <v>31</v>
      </c>
    </row>
    <row r="1873" spans="2:13" ht="15" customHeight="1" x14ac:dyDescent="0.25">
      <c r="B1873" s="45" t="s">
        <v>4645</v>
      </c>
      <c r="C1873" s="120">
        <v>45927</v>
      </c>
      <c r="D1873" s="12" t="s">
        <v>4646</v>
      </c>
      <c r="E1873" s="136"/>
      <c r="F1873" s="12" t="s">
        <v>4647</v>
      </c>
      <c r="G1873" s="137"/>
      <c r="H1873" s="67"/>
      <c r="I1873" s="71"/>
      <c r="J1873" s="72">
        <v>1612.5</v>
      </c>
      <c r="K1873" s="88" t="s">
        <v>17</v>
      </c>
      <c r="L1873" s="73"/>
      <c r="M1873" s="11" t="s">
        <v>3698</v>
      </c>
    </row>
    <row r="1874" spans="2:13" ht="15" customHeight="1" x14ac:dyDescent="0.25">
      <c r="B1874" s="45" t="s">
        <v>4648</v>
      </c>
      <c r="C1874" s="120">
        <v>45934</v>
      </c>
      <c r="D1874" t="s">
        <v>4649</v>
      </c>
      <c r="E1874" s="136"/>
      <c r="F1874" t="s">
        <v>22</v>
      </c>
      <c r="G1874" s="137"/>
      <c r="H1874" s="67"/>
      <c r="I1874" s="71"/>
      <c r="J1874" s="72">
        <v>1200</v>
      </c>
      <c r="K1874" s="88" t="s">
        <v>17</v>
      </c>
      <c r="L1874" s="73"/>
      <c r="M1874" s="11" t="s">
        <v>31</v>
      </c>
    </row>
    <row r="1875" spans="2:13" x14ac:dyDescent="0.25">
      <c r="B1875" s="45" t="s">
        <v>4650</v>
      </c>
      <c r="C1875" s="120">
        <v>45929</v>
      </c>
      <c r="D1875" t="s">
        <v>4060</v>
      </c>
      <c r="E1875" s="136"/>
      <c r="F1875" t="s">
        <v>4651</v>
      </c>
      <c r="G1875" s="137"/>
      <c r="H1875" s="67"/>
      <c r="I1875" s="71"/>
      <c r="J1875" s="72">
        <v>39200</v>
      </c>
      <c r="K1875" s="88" t="s">
        <v>1874</v>
      </c>
      <c r="L1875" s="73"/>
      <c r="M1875" s="11" t="s">
        <v>18</v>
      </c>
    </row>
    <row r="1876" spans="2:13" x14ac:dyDescent="0.25">
      <c r="B1876" s="45" t="s">
        <v>4652</v>
      </c>
      <c r="C1876" s="158">
        <v>45929</v>
      </c>
      <c r="D1876" t="s">
        <v>115</v>
      </c>
      <c r="E1876" s="136"/>
      <c r="F1876" s="102" t="s">
        <v>233</v>
      </c>
      <c r="G1876" s="137"/>
      <c r="H1876" s="67"/>
      <c r="I1876" s="71"/>
      <c r="J1876" s="93">
        <v>375</v>
      </c>
      <c r="K1876" s="88" t="s">
        <v>17</v>
      </c>
      <c r="L1876" s="73"/>
      <c r="M1876" s="11" t="s">
        <v>31</v>
      </c>
    </row>
    <row r="1877" spans="2:13" ht="15" customHeight="1" x14ac:dyDescent="0.25">
      <c r="B1877" s="159" t="s">
        <v>4653</v>
      </c>
      <c r="C1877" s="105">
        <v>45929</v>
      </c>
      <c r="D1877" s="12" t="s">
        <v>3802</v>
      </c>
      <c r="E1877" s="136"/>
      <c r="F1877" s="12" t="s">
        <v>4654</v>
      </c>
      <c r="G1877" s="137"/>
      <c r="H1877" s="67"/>
      <c r="I1877" s="138"/>
      <c r="J1877" s="72">
        <v>285</v>
      </c>
      <c r="K1877" s="88" t="s">
        <v>17</v>
      </c>
      <c r="L1877" s="73"/>
      <c r="M1877" s="11" t="s">
        <v>31</v>
      </c>
    </row>
    <row r="1878" spans="2:13" ht="15" customHeight="1" x14ac:dyDescent="0.25">
      <c r="B1878" s="159" t="s">
        <v>4655</v>
      </c>
      <c r="C1878" s="105">
        <v>45929</v>
      </c>
      <c r="D1878" s="12" t="s">
        <v>211</v>
      </c>
      <c r="E1878" s="136"/>
      <c r="F1878" s="12" t="s">
        <v>4656</v>
      </c>
      <c r="G1878" s="137"/>
      <c r="H1878" s="67"/>
      <c r="I1878" s="138"/>
      <c r="J1878" s="72">
        <v>160</v>
      </c>
      <c r="K1878" s="88" t="s">
        <v>17</v>
      </c>
      <c r="L1878" s="73"/>
      <c r="M1878" s="11" t="s">
        <v>31</v>
      </c>
    </row>
    <row r="1879" spans="2:13" ht="15" customHeight="1" x14ac:dyDescent="0.25">
      <c r="B1879" s="159" t="s">
        <v>4657</v>
      </c>
      <c r="C1879" s="105">
        <v>45929</v>
      </c>
      <c r="D1879" s="12" t="s">
        <v>4658</v>
      </c>
      <c r="E1879" s="136"/>
      <c r="F1879" s="12" t="s">
        <v>4659</v>
      </c>
      <c r="G1879" s="137"/>
      <c r="H1879" s="67"/>
      <c r="I1879" s="138"/>
      <c r="J1879" s="72">
        <v>261.75</v>
      </c>
      <c r="K1879" s="88" t="s">
        <v>17</v>
      </c>
      <c r="L1879" s="73"/>
      <c r="M1879" s="11" t="s">
        <v>31</v>
      </c>
    </row>
    <row r="1880" spans="2:13" ht="15" customHeight="1" x14ac:dyDescent="0.25">
      <c r="B1880" s="159" t="s">
        <v>4660</v>
      </c>
      <c r="C1880" s="105">
        <v>45929</v>
      </c>
      <c r="D1880" s="12" t="s">
        <v>642</v>
      </c>
      <c r="E1880" s="136"/>
      <c r="F1880" s="12" t="s">
        <v>4661</v>
      </c>
      <c r="G1880" s="137"/>
      <c r="H1880" s="67"/>
      <c r="I1880" s="138"/>
      <c r="J1880" s="72">
        <v>560</v>
      </c>
      <c r="K1880" s="88" t="s">
        <v>17</v>
      </c>
      <c r="L1880" s="73"/>
      <c r="M1880" s="11" t="s">
        <v>31</v>
      </c>
    </row>
    <row r="1881" spans="2:13" ht="15" customHeight="1" x14ac:dyDescent="0.25">
      <c r="B1881" s="45" t="s">
        <v>4662</v>
      </c>
      <c r="C1881" s="160">
        <v>45929</v>
      </c>
      <c r="D1881" s="147" t="s">
        <v>4663</v>
      </c>
      <c r="E1881" s="136"/>
      <c r="F1881" t="s">
        <v>2908</v>
      </c>
      <c r="G1881" s="137"/>
      <c r="H1881" s="67"/>
      <c r="I1881" s="71"/>
      <c r="J1881" s="161">
        <v>3675</v>
      </c>
      <c r="K1881" s="88" t="s">
        <v>17</v>
      </c>
      <c r="L1881" s="73"/>
      <c r="M1881" s="11" t="s">
        <v>31</v>
      </c>
    </row>
    <row r="1882" spans="2:13" ht="15" customHeight="1" x14ac:dyDescent="0.25">
      <c r="B1882" s="159" t="s">
        <v>4664</v>
      </c>
      <c r="C1882" s="105">
        <v>45979</v>
      </c>
      <c r="D1882" s="12" t="s">
        <v>4665</v>
      </c>
      <c r="E1882" s="136"/>
      <c r="F1882" s="12" t="s">
        <v>4666</v>
      </c>
      <c r="G1882" s="137"/>
      <c r="H1882" s="67"/>
      <c r="I1882" s="138"/>
      <c r="J1882" s="72">
        <v>234</v>
      </c>
      <c r="K1882" s="88" t="s">
        <v>17</v>
      </c>
      <c r="L1882" s="73"/>
      <c r="M1882" s="11" t="s">
        <v>3698</v>
      </c>
    </row>
    <row r="1883" spans="2:13" ht="15" customHeight="1" x14ac:dyDescent="0.25">
      <c r="B1883" s="159" t="s">
        <v>4667</v>
      </c>
      <c r="C1883" s="105">
        <v>45930</v>
      </c>
      <c r="D1883" s="12" t="s">
        <v>4030</v>
      </c>
      <c r="E1883" s="136"/>
      <c r="F1883" s="12" t="s">
        <v>1044</v>
      </c>
      <c r="G1883" s="137"/>
      <c r="H1883" s="67"/>
      <c r="I1883" s="138"/>
      <c r="J1883" s="72">
        <v>640</v>
      </c>
      <c r="K1883" s="88" t="s">
        <v>17</v>
      </c>
      <c r="L1883" s="73"/>
      <c r="M1883" s="11" t="s">
        <v>31</v>
      </c>
    </row>
    <row r="1884" spans="2:13" ht="15" customHeight="1" x14ac:dyDescent="0.25">
      <c r="B1884" s="159" t="s">
        <v>4668</v>
      </c>
      <c r="C1884" s="105">
        <v>45930</v>
      </c>
      <c r="D1884" s="12" t="s">
        <v>211</v>
      </c>
      <c r="E1884" s="136"/>
      <c r="F1884" s="12" t="s">
        <v>4669</v>
      </c>
      <c r="G1884" s="137"/>
      <c r="H1884" s="67"/>
      <c r="I1884" s="138"/>
      <c r="J1884" s="72">
        <v>160</v>
      </c>
      <c r="K1884" s="88" t="s">
        <v>17</v>
      </c>
      <c r="L1884" s="73"/>
      <c r="M1884" s="11" t="s">
        <v>31</v>
      </c>
    </row>
    <row r="1885" spans="2:13" ht="15" customHeight="1" x14ac:dyDescent="0.25">
      <c r="B1885" s="159" t="s">
        <v>4670</v>
      </c>
      <c r="C1885" s="105">
        <v>45930</v>
      </c>
      <c r="D1885" s="12" t="s">
        <v>115</v>
      </c>
      <c r="E1885" s="136"/>
      <c r="F1885" s="12" t="s">
        <v>4671</v>
      </c>
      <c r="G1885" s="137"/>
      <c r="H1885" s="67"/>
      <c r="I1885" s="138"/>
      <c r="J1885" s="72">
        <v>375</v>
      </c>
      <c r="K1885" s="88" t="s">
        <v>17</v>
      </c>
      <c r="L1885" s="73"/>
      <c r="M1885" s="11" t="s">
        <v>31</v>
      </c>
    </row>
    <row r="1886" spans="2:13" ht="15" customHeight="1" x14ac:dyDescent="0.25">
      <c r="B1886" s="159" t="s">
        <v>4672</v>
      </c>
      <c r="C1886" s="105">
        <v>45930</v>
      </c>
      <c r="D1886" s="12" t="s">
        <v>1459</v>
      </c>
      <c r="E1886" s="136"/>
      <c r="F1886" s="12" t="s">
        <v>4673</v>
      </c>
      <c r="G1886" s="137"/>
      <c r="H1886" s="67"/>
      <c r="I1886" s="138"/>
      <c r="J1886" s="72">
        <v>215</v>
      </c>
      <c r="K1886" s="88" t="s">
        <v>17</v>
      </c>
      <c r="L1886" s="73"/>
      <c r="M1886" s="11" t="s">
        <v>31</v>
      </c>
    </row>
    <row r="1887" spans="2:13" ht="15" customHeight="1" x14ac:dyDescent="0.25">
      <c r="B1887" s="159" t="s">
        <v>4674</v>
      </c>
      <c r="C1887" s="105">
        <v>45930</v>
      </c>
      <c r="D1887" s="12" t="s">
        <v>639</v>
      </c>
      <c r="E1887" s="136"/>
      <c r="F1887" s="12" t="s">
        <v>1867</v>
      </c>
      <c r="G1887" s="137"/>
      <c r="H1887" s="67"/>
      <c r="I1887" s="138"/>
      <c r="J1887" s="72">
        <v>975</v>
      </c>
      <c r="K1887" s="88" t="s">
        <v>17</v>
      </c>
      <c r="L1887" s="73"/>
      <c r="M1887" s="11" t="s">
        <v>31</v>
      </c>
    </row>
    <row r="1888" spans="2:13" ht="15" customHeight="1" x14ac:dyDescent="0.25">
      <c r="B1888" s="45" t="s">
        <v>4675</v>
      </c>
      <c r="C1888" s="162">
        <v>45930</v>
      </c>
      <c r="D1888" t="s">
        <v>4086</v>
      </c>
      <c r="E1888" s="136"/>
      <c r="F1888" t="s">
        <v>468</v>
      </c>
      <c r="G1888" s="137"/>
      <c r="H1888" s="67"/>
      <c r="I1888" s="71"/>
      <c r="J1888" s="139">
        <v>735</v>
      </c>
      <c r="K1888" s="88" t="s">
        <v>1874</v>
      </c>
      <c r="L1888" s="73"/>
      <c r="M1888" s="11" t="s">
        <v>31</v>
      </c>
    </row>
    <row r="1889" spans="2:13" ht="15" customHeight="1" x14ac:dyDescent="0.25">
      <c r="B1889" s="45" t="s">
        <v>4676</v>
      </c>
      <c r="C1889" s="158">
        <v>45930</v>
      </c>
      <c r="D1889" s="102" t="s">
        <v>1986</v>
      </c>
      <c r="E1889" s="136"/>
      <c r="F1889" t="s">
        <v>4677</v>
      </c>
      <c r="G1889" s="137"/>
      <c r="H1889" s="67"/>
      <c r="I1889" s="71"/>
      <c r="J1889" s="93">
        <v>185</v>
      </c>
      <c r="K1889" s="88" t="s">
        <v>17</v>
      </c>
      <c r="L1889" s="73"/>
      <c r="M1889" s="11" t="s">
        <v>31</v>
      </c>
    </row>
    <row r="1890" spans="2:13" ht="15" customHeight="1" x14ac:dyDescent="0.25">
      <c r="B1890" s="159" t="s">
        <v>4678</v>
      </c>
      <c r="C1890" s="105">
        <v>45930</v>
      </c>
      <c r="D1890" s="12" t="s">
        <v>4679</v>
      </c>
      <c r="E1890" s="136"/>
      <c r="F1890" s="12" t="s">
        <v>4680</v>
      </c>
      <c r="G1890" s="137"/>
      <c r="H1890" s="67"/>
      <c r="I1890" s="138"/>
      <c r="J1890" s="72">
        <v>296.25</v>
      </c>
      <c r="K1890" s="88" t="s">
        <v>3625</v>
      </c>
      <c r="L1890" s="73"/>
      <c r="M1890" s="11" t="s">
        <v>18</v>
      </c>
    </row>
    <row r="1891" spans="2:13" ht="15" customHeight="1" x14ac:dyDescent="0.25">
      <c r="B1891" s="159" t="s">
        <v>4681</v>
      </c>
      <c r="C1891" s="105">
        <v>45931</v>
      </c>
      <c r="D1891" s="12" t="s">
        <v>4682</v>
      </c>
      <c r="E1891" s="136"/>
      <c r="F1891" s="12" t="s">
        <v>2674</v>
      </c>
      <c r="G1891" s="137"/>
      <c r="H1891" s="67"/>
      <c r="I1891" s="138"/>
      <c r="J1891" s="72">
        <v>625</v>
      </c>
      <c r="K1891" s="88" t="s">
        <v>1874</v>
      </c>
      <c r="L1891" s="73"/>
      <c r="M1891" s="11" t="s">
        <v>3698</v>
      </c>
    </row>
    <row r="1892" spans="2:13" ht="15" customHeight="1" x14ac:dyDescent="0.25">
      <c r="B1892" s="159" t="s">
        <v>4683</v>
      </c>
      <c r="C1892" s="120">
        <v>45931</v>
      </c>
      <c r="D1892" s="12" t="s">
        <v>1459</v>
      </c>
      <c r="E1892" s="136"/>
      <c r="F1892" s="12" t="s">
        <v>2182</v>
      </c>
      <c r="G1892" s="137"/>
      <c r="H1892" s="67"/>
      <c r="I1892" s="138"/>
      <c r="J1892" s="72">
        <v>2875</v>
      </c>
      <c r="K1892" s="88" t="s">
        <v>17</v>
      </c>
      <c r="L1892" s="73"/>
      <c r="M1892" s="11" t="s">
        <v>3698</v>
      </c>
    </row>
    <row r="1893" spans="2:13" ht="15" customHeight="1" x14ac:dyDescent="0.25">
      <c r="B1893" s="159" t="s">
        <v>4684</v>
      </c>
      <c r="C1893" s="120">
        <v>45932</v>
      </c>
      <c r="D1893" s="12" t="s">
        <v>4685</v>
      </c>
      <c r="E1893" s="136"/>
      <c r="F1893" s="12" t="s">
        <v>4686</v>
      </c>
      <c r="G1893" s="137"/>
      <c r="H1893" s="67"/>
      <c r="I1893" s="138"/>
      <c r="J1893" s="72">
        <v>680</v>
      </c>
      <c r="K1893" s="88" t="s">
        <v>17</v>
      </c>
      <c r="L1893" s="73"/>
      <c r="M1893" s="11" t="s">
        <v>18</v>
      </c>
    </row>
    <row r="1894" spans="2:13" ht="15" customHeight="1" x14ac:dyDescent="0.25">
      <c r="B1894" s="45" t="s">
        <v>4687</v>
      </c>
      <c r="C1894" s="162">
        <v>45932</v>
      </c>
      <c r="D1894" t="s">
        <v>4348</v>
      </c>
      <c r="E1894" s="136"/>
      <c r="F1894" t="s">
        <v>4688</v>
      </c>
      <c r="G1894" s="137"/>
      <c r="H1894" s="67"/>
      <c r="I1894" s="71"/>
      <c r="J1894" s="139">
        <v>114</v>
      </c>
      <c r="K1894" s="88" t="s">
        <v>1874</v>
      </c>
      <c r="L1894" s="73"/>
      <c r="M1894" s="11" t="s">
        <v>31</v>
      </c>
    </row>
    <row r="1895" spans="2:13" ht="15" customHeight="1" x14ac:dyDescent="0.25">
      <c r="B1895" s="45" t="s">
        <v>4689</v>
      </c>
      <c r="C1895" s="120">
        <v>45933</v>
      </c>
      <c r="D1895" t="s">
        <v>211</v>
      </c>
      <c r="E1895" s="136"/>
      <c r="F1895" s="12" t="s">
        <v>4690</v>
      </c>
      <c r="G1895" s="137"/>
      <c r="H1895" s="67"/>
      <c r="I1895" s="71"/>
      <c r="J1895" s="72">
        <v>160</v>
      </c>
      <c r="K1895" s="88" t="s">
        <v>17</v>
      </c>
      <c r="L1895" s="73"/>
      <c r="M1895" s="11" t="s">
        <v>31</v>
      </c>
    </row>
    <row r="1896" spans="2:13" ht="15" customHeight="1" x14ac:dyDescent="0.25">
      <c r="B1896" s="45" t="s">
        <v>4691</v>
      </c>
      <c r="C1896" s="120">
        <v>45932</v>
      </c>
      <c r="D1896" s="12" t="s">
        <v>211</v>
      </c>
      <c r="E1896" s="136"/>
      <c r="F1896" s="12" t="s">
        <v>4669</v>
      </c>
      <c r="G1896" s="137"/>
      <c r="H1896" s="67"/>
      <c r="I1896" s="71"/>
      <c r="J1896" s="72">
        <v>160</v>
      </c>
      <c r="K1896" s="88" t="s">
        <v>17</v>
      </c>
      <c r="L1896" s="73"/>
      <c r="M1896" s="11" t="s">
        <v>31</v>
      </c>
    </row>
    <row r="1897" spans="2:13" ht="15" customHeight="1" x14ac:dyDescent="0.25">
      <c r="B1897" s="45" t="s">
        <v>4692</v>
      </c>
      <c r="C1897" s="120">
        <v>45932</v>
      </c>
      <c r="D1897" s="12" t="s">
        <v>1060</v>
      </c>
      <c r="E1897" s="136"/>
      <c r="F1897" s="12" t="s">
        <v>4693</v>
      </c>
      <c r="G1897" s="137"/>
      <c r="H1897" s="67"/>
      <c r="I1897" s="71"/>
      <c r="J1897" s="72">
        <v>190</v>
      </c>
      <c r="K1897" s="88" t="s">
        <v>17</v>
      </c>
      <c r="L1897" s="73"/>
      <c r="M1897" s="11" t="s">
        <v>31</v>
      </c>
    </row>
    <row r="1898" spans="2:13" ht="15" customHeight="1" x14ac:dyDescent="0.25">
      <c r="B1898" s="45" t="s">
        <v>4694</v>
      </c>
      <c r="C1898" s="120">
        <v>45932</v>
      </c>
      <c r="D1898" s="12" t="s">
        <v>2233</v>
      </c>
      <c r="E1898" s="136"/>
      <c r="F1898" s="12" t="s">
        <v>393</v>
      </c>
      <c r="G1898" s="137"/>
      <c r="H1898" s="67"/>
      <c r="I1898" s="71"/>
      <c r="J1898" s="72">
        <v>5560</v>
      </c>
      <c r="K1898" s="88" t="s">
        <v>17</v>
      </c>
      <c r="L1898" s="73"/>
      <c r="M1898" s="11" t="s">
        <v>31</v>
      </c>
    </row>
    <row r="1899" spans="2:13" ht="15" customHeight="1" x14ac:dyDescent="0.25">
      <c r="B1899" s="45" t="s">
        <v>4695</v>
      </c>
      <c r="C1899" s="120">
        <v>45936</v>
      </c>
      <c r="D1899" s="102" t="s">
        <v>1060</v>
      </c>
      <c r="E1899" s="136"/>
      <c r="F1899" s="102" t="s">
        <v>4696</v>
      </c>
      <c r="G1899" s="137"/>
      <c r="H1899" s="67"/>
      <c r="I1899" s="71"/>
      <c r="J1899" s="72">
        <v>270</v>
      </c>
      <c r="K1899" s="88" t="s">
        <v>17</v>
      </c>
      <c r="L1899" s="73"/>
      <c r="M1899" s="11" t="s">
        <v>31</v>
      </c>
    </row>
    <row r="1900" spans="2:13" ht="15" customHeight="1" x14ac:dyDescent="0.25">
      <c r="B1900" s="45" t="s">
        <v>4697</v>
      </c>
      <c r="C1900" s="120">
        <v>45933</v>
      </c>
      <c r="D1900" s="12" t="s">
        <v>4698</v>
      </c>
      <c r="E1900" s="136"/>
      <c r="F1900" s="12" t="s">
        <v>468</v>
      </c>
      <c r="G1900" s="137"/>
      <c r="H1900" s="67"/>
      <c r="I1900" s="71"/>
      <c r="J1900" s="72">
        <v>597.5</v>
      </c>
      <c r="K1900" s="88" t="s">
        <v>3625</v>
      </c>
      <c r="L1900" s="73"/>
      <c r="M1900" s="11" t="s">
        <v>18</v>
      </c>
    </row>
    <row r="1901" spans="2:13" ht="15" customHeight="1" x14ac:dyDescent="0.25">
      <c r="B1901" s="45" t="s">
        <v>4699</v>
      </c>
      <c r="C1901" s="120">
        <v>45933</v>
      </c>
      <c r="D1901" s="12" t="s">
        <v>2233</v>
      </c>
      <c r="E1901" s="136"/>
      <c r="F1901" s="12" t="s">
        <v>4700</v>
      </c>
      <c r="G1901" s="137"/>
      <c r="H1901" s="67"/>
      <c r="I1901" s="71"/>
      <c r="J1901" s="72">
        <v>2650</v>
      </c>
      <c r="K1901" s="88" t="s">
        <v>17</v>
      </c>
      <c r="L1901" s="73"/>
      <c r="M1901" s="11" t="s">
        <v>31</v>
      </c>
    </row>
    <row r="1902" spans="2:13" ht="15" customHeight="1" x14ac:dyDescent="0.25">
      <c r="B1902" s="45" t="s">
        <v>4701</v>
      </c>
      <c r="C1902" s="120">
        <v>45933</v>
      </c>
      <c r="D1902" s="12" t="s">
        <v>426</v>
      </c>
      <c r="E1902" s="136"/>
      <c r="F1902" s="12" t="s">
        <v>4702</v>
      </c>
      <c r="G1902" s="137"/>
      <c r="H1902" s="67"/>
      <c r="I1902" s="71"/>
      <c r="J1902" s="72">
        <v>635</v>
      </c>
      <c r="K1902" s="88" t="s">
        <v>17</v>
      </c>
      <c r="L1902" s="73"/>
      <c r="M1902" s="11" t="s">
        <v>31</v>
      </c>
    </row>
    <row r="1903" spans="2:13" ht="15" customHeight="1" x14ac:dyDescent="0.25">
      <c r="B1903" s="45" t="s">
        <v>4703</v>
      </c>
      <c r="C1903" s="120">
        <v>45933</v>
      </c>
      <c r="D1903" s="12" t="s">
        <v>4704</v>
      </c>
      <c r="E1903" s="136"/>
      <c r="F1903" s="12" t="s">
        <v>4705</v>
      </c>
      <c r="G1903" s="137"/>
      <c r="H1903" s="67"/>
      <c r="I1903" s="71"/>
      <c r="J1903" s="72">
        <v>200</v>
      </c>
      <c r="K1903" s="88" t="s">
        <v>3625</v>
      </c>
      <c r="L1903" s="73"/>
      <c r="M1903" s="11" t="s">
        <v>18</v>
      </c>
    </row>
    <row r="1904" spans="2:13" ht="15" customHeight="1" x14ac:dyDescent="0.25">
      <c r="B1904" s="45" t="s">
        <v>4706</v>
      </c>
      <c r="C1904" s="120">
        <v>45933</v>
      </c>
      <c r="D1904" s="12" t="s">
        <v>564</v>
      </c>
      <c r="E1904" s="136"/>
      <c r="F1904" s="12" t="s">
        <v>4707</v>
      </c>
      <c r="G1904" s="137"/>
      <c r="H1904" s="67"/>
      <c r="I1904" s="71"/>
      <c r="J1904" s="72">
        <v>223.5</v>
      </c>
      <c r="K1904" s="88" t="s">
        <v>17</v>
      </c>
      <c r="L1904" s="73"/>
      <c r="M1904" s="11" t="s">
        <v>3698</v>
      </c>
    </row>
    <row r="1905" spans="2:13" ht="15" customHeight="1" x14ac:dyDescent="0.25">
      <c r="B1905" s="45" t="s">
        <v>4708</v>
      </c>
      <c r="C1905" s="120">
        <v>45933</v>
      </c>
      <c r="D1905" t="s">
        <v>4709</v>
      </c>
      <c r="E1905" s="136"/>
      <c r="F1905" t="s">
        <v>4710</v>
      </c>
      <c r="G1905" s="137"/>
      <c r="H1905" s="67"/>
      <c r="I1905" s="71"/>
      <c r="J1905" s="72">
        <v>510</v>
      </c>
      <c r="K1905" s="88" t="s">
        <v>1874</v>
      </c>
      <c r="L1905" s="73"/>
      <c r="M1905" s="11" t="s">
        <v>31</v>
      </c>
    </row>
    <row r="1906" spans="2:13" ht="15" customHeight="1" x14ac:dyDescent="0.25">
      <c r="B1906" s="45" t="s">
        <v>4711</v>
      </c>
      <c r="C1906" s="120">
        <v>45933</v>
      </c>
      <c r="D1906" s="12" t="s">
        <v>4712</v>
      </c>
      <c r="E1906" s="136"/>
      <c r="F1906" s="12" t="s">
        <v>2674</v>
      </c>
      <c r="G1906" s="137"/>
      <c r="H1906" s="67"/>
      <c r="I1906" s="71"/>
      <c r="J1906" s="72">
        <v>1735</v>
      </c>
      <c r="K1906" s="88" t="s">
        <v>3625</v>
      </c>
      <c r="L1906" s="73"/>
      <c r="M1906" s="11" t="s">
        <v>3698</v>
      </c>
    </row>
    <row r="1907" spans="2:13" ht="15" customHeight="1" x14ac:dyDescent="0.25">
      <c r="B1907" s="45" t="s">
        <v>4713</v>
      </c>
      <c r="C1907" s="120">
        <v>45933</v>
      </c>
      <c r="D1907" s="12" t="s">
        <v>426</v>
      </c>
      <c r="E1907" s="136"/>
      <c r="F1907" s="12" t="s">
        <v>4714</v>
      </c>
      <c r="G1907" s="137"/>
      <c r="H1907" s="67"/>
      <c r="I1907" s="71"/>
      <c r="J1907" s="72">
        <v>1190</v>
      </c>
      <c r="K1907" s="88" t="s">
        <v>17</v>
      </c>
      <c r="L1907" s="73"/>
      <c r="M1907" s="11" t="s">
        <v>18</v>
      </c>
    </row>
    <row r="1908" spans="2:13" ht="15" customHeight="1" x14ac:dyDescent="0.25">
      <c r="B1908" s="45" t="s">
        <v>4715</v>
      </c>
      <c r="C1908" s="120">
        <v>45934</v>
      </c>
      <c r="D1908" s="12" t="s">
        <v>4716</v>
      </c>
      <c r="E1908" s="136"/>
      <c r="F1908" s="12" t="s">
        <v>4717</v>
      </c>
      <c r="G1908" s="137"/>
      <c r="H1908" s="67"/>
      <c r="I1908" s="71"/>
      <c r="J1908" s="72">
        <v>1921.25</v>
      </c>
      <c r="K1908" s="88" t="s">
        <v>17</v>
      </c>
      <c r="L1908" s="73"/>
      <c r="M1908" s="11" t="s">
        <v>3698</v>
      </c>
    </row>
    <row r="1909" spans="2:13" ht="15" customHeight="1" x14ac:dyDescent="0.25">
      <c r="B1909" s="45" t="s">
        <v>4718</v>
      </c>
      <c r="C1909" s="120">
        <v>45934</v>
      </c>
      <c r="D1909" s="12" t="s">
        <v>574</v>
      </c>
      <c r="E1909" s="136"/>
      <c r="F1909" s="12" t="s">
        <v>2678</v>
      </c>
      <c r="G1909" s="137"/>
      <c r="H1909" s="67"/>
      <c r="I1909" s="71"/>
      <c r="J1909" s="72">
        <v>5512.5</v>
      </c>
      <c r="K1909" s="88" t="s">
        <v>17</v>
      </c>
      <c r="L1909" s="73"/>
      <c r="M1909" s="11" t="s">
        <v>3698</v>
      </c>
    </row>
    <row r="1910" spans="2:13" ht="15" customHeight="1" x14ac:dyDescent="0.25">
      <c r="B1910" s="45" t="s">
        <v>4719</v>
      </c>
      <c r="C1910" s="120">
        <v>45934</v>
      </c>
      <c r="D1910" s="12" t="s">
        <v>4720</v>
      </c>
      <c r="E1910" s="136"/>
      <c r="F1910" s="12" t="s">
        <v>4721</v>
      </c>
      <c r="G1910" s="137"/>
      <c r="H1910" s="67"/>
      <c r="I1910" s="71"/>
      <c r="J1910" s="72">
        <v>735</v>
      </c>
      <c r="K1910" s="88" t="s">
        <v>3625</v>
      </c>
      <c r="L1910" s="73"/>
      <c r="M1910" s="11" t="s">
        <v>3698</v>
      </c>
    </row>
    <row r="1911" spans="2:13" ht="15" customHeight="1" x14ac:dyDescent="0.25">
      <c r="B1911" s="45" t="s">
        <v>4722</v>
      </c>
      <c r="C1911" s="120">
        <v>45934</v>
      </c>
      <c r="D1911" s="12" t="s">
        <v>2304</v>
      </c>
      <c r="E1911" s="136"/>
      <c r="F1911" s="12" t="s">
        <v>22</v>
      </c>
      <c r="G1911" s="137"/>
      <c r="H1911" s="67"/>
      <c r="I1911" s="71"/>
      <c r="J1911" s="72">
        <v>215</v>
      </c>
      <c r="K1911" s="88" t="s">
        <v>1874</v>
      </c>
      <c r="L1911" s="73"/>
      <c r="M1911" s="11" t="s">
        <v>31</v>
      </c>
    </row>
    <row r="1912" spans="2:13" ht="15" customHeight="1" x14ac:dyDescent="0.25">
      <c r="B1912" s="45" t="s">
        <v>4723</v>
      </c>
      <c r="C1912" s="120">
        <v>45937</v>
      </c>
      <c r="D1912" s="12" t="s">
        <v>1043</v>
      </c>
      <c r="E1912" s="136"/>
      <c r="F1912" s="12" t="s">
        <v>4724</v>
      </c>
      <c r="G1912" s="137"/>
      <c r="H1912" s="67"/>
      <c r="I1912" s="71"/>
      <c r="J1912" s="72">
        <v>3141</v>
      </c>
      <c r="K1912" s="88" t="s">
        <v>17</v>
      </c>
      <c r="L1912" s="73"/>
      <c r="M1912" s="11" t="s">
        <v>3698</v>
      </c>
    </row>
    <row r="1913" spans="2:13" ht="15" customHeight="1" x14ac:dyDescent="0.25">
      <c r="B1913" s="45" t="s">
        <v>4725</v>
      </c>
      <c r="C1913" s="120">
        <v>45936</v>
      </c>
      <c r="D1913" s="12" t="s">
        <v>4726</v>
      </c>
      <c r="E1913" s="136"/>
      <c r="F1913" s="12" t="s">
        <v>4727</v>
      </c>
      <c r="G1913" s="137"/>
      <c r="H1913" s="67"/>
      <c r="I1913" s="71"/>
      <c r="J1913" s="72">
        <v>3735</v>
      </c>
      <c r="K1913" s="88" t="s">
        <v>17</v>
      </c>
      <c r="L1913" s="73"/>
      <c r="M1913" s="11" t="s">
        <v>3698</v>
      </c>
    </row>
    <row r="1914" spans="2:13" ht="15" customHeight="1" x14ac:dyDescent="0.25">
      <c r="B1914" s="45" t="s">
        <v>4728</v>
      </c>
      <c r="C1914" s="120">
        <v>45936</v>
      </c>
      <c r="D1914" s="12" t="s">
        <v>639</v>
      </c>
      <c r="E1914" s="136"/>
      <c r="F1914" s="12" t="s">
        <v>4729</v>
      </c>
      <c r="G1914" s="137"/>
      <c r="H1914" s="67"/>
      <c r="I1914" s="71"/>
      <c r="J1914" s="72">
        <v>95</v>
      </c>
      <c r="K1914" s="88" t="s">
        <v>17</v>
      </c>
      <c r="L1914" s="73"/>
      <c r="M1914" s="11" t="s">
        <v>31</v>
      </c>
    </row>
    <row r="1915" spans="2:13" ht="15" customHeight="1" x14ac:dyDescent="0.25">
      <c r="B1915" s="45" t="s">
        <v>4730</v>
      </c>
      <c r="C1915" s="120">
        <v>45936</v>
      </c>
      <c r="D1915" s="12" t="s">
        <v>1907</v>
      </c>
      <c r="E1915" s="136"/>
      <c r="F1915" s="12" t="s">
        <v>4731</v>
      </c>
      <c r="G1915" s="137"/>
      <c r="H1915" s="67"/>
      <c r="I1915" s="71"/>
      <c r="J1915" s="72">
        <v>310</v>
      </c>
      <c r="K1915" s="88" t="s">
        <v>17</v>
      </c>
      <c r="L1915" s="73"/>
      <c r="M1915" s="11" t="s">
        <v>31</v>
      </c>
    </row>
    <row r="1916" spans="2:13" ht="15" customHeight="1" x14ac:dyDescent="0.25">
      <c r="B1916" s="45" t="s">
        <v>4732</v>
      </c>
      <c r="C1916" s="120">
        <v>45937</v>
      </c>
      <c r="D1916" s="12" t="s">
        <v>4733</v>
      </c>
      <c r="E1916" s="136"/>
      <c r="F1916" s="12" t="s">
        <v>4734</v>
      </c>
      <c r="G1916" s="137"/>
      <c r="H1916" s="67"/>
      <c r="I1916" s="71"/>
      <c r="J1916" s="72">
        <v>895.5</v>
      </c>
      <c r="K1916" s="88" t="s">
        <v>17</v>
      </c>
      <c r="L1916" s="73"/>
      <c r="M1916" s="11" t="s">
        <v>31</v>
      </c>
    </row>
    <row r="1917" spans="2:13" ht="15" customHeight="1" x14ac:dyDescent="0.25">
      <c r="B1917" s="45" t="s">
        <v>4735</v>
      </c>
      <c r="C1917" s="120">
        <v>45937</v>
      </c>
      <c r="D1917" s="12" t="s">
        <v>115</v>
      </c>
      <c r="E1917" s="136"/>
      <c r="F1917" s="12" t="s">
        <v>4736</v>
      </c>
      <c r="G1917" s="137"/>
      <c r="H1917" s="67"/>
      <c r="I1917" s="71"/>
      <c r="J1917" s="72">
        <v>375</v>
      </c>
      <c r="K1917" s="88" t="s">
        <v>17</v>
      </c>
      <c r="L1917" s="73"/>
      <c r="M1917" s="11" t="s">
        <v>31</v>
      </c>
    </row>
    <row r="1918" spans="2:13" ht="15" customHeight="1" x14ac:dyDescent="0.25">
      <c r="B1918" s="45" t="s">
        <v>4737</v>
      </c>
      <c r="C1918" s="120">
        <v>45937</v>
      </c>
      <c r="D1918" s="12" t="s">
        <v>211</v>
      </c>
      <c r="E1918" s="136"/>
      <c r="F1918" s="12" t="s">
        <v>4738</v>
      </c>
      <c r="G1918" s="137"/>
      <c r="H1918" s="67"/>
      <c r="I1918" s="71"/>
      <c r="J1918" s="72">
        <v>160</v>
      </c>
      <c r="K1918" s="88" t="s">
        <v>17</v>
      </c>
      <c r="L1918" s="73"/>
      <c r="M1918" s="11" t="s">
        <v>31</v>
      </c>
    </row>
    <row r="1919" spans="2:13" ht="15" customHeight="1" x14ac:dyDescent="0.25">
      <c r="B1919" s="45" t="s">
        <v>4739</v>
      </c>
      <c r="C1919" s="120">
        <v>45937</v>
      </c>
      <c r="D1919" s="12" t="s">
        <v>4641</v>
      </c>
      <c r="E1919" s="136"/>
      <c r="F1919" s="12" t="s">
        <v>4740</v>
      </c>
      <c r="G1919" s="137"/>
      <c r="H1919" s="67"/>
      <c r="I1919" s="71"/>
      <c r="J1919" s="72">
        <v>2655</v>
      </c>
      <c r="K1919" s="88" t="s">
        <v>17</v>
      </c>
      <c r="L1919" s="73"/>
      <c r="M1919" s="11" t="s">
        <v>31</v>
      </c>
    </row>
    <row r="1920" spans="2:13" ht="15" customHeight="1" x14ac:dyDescent="0.25">
      <c r="B1920" s="45" t="s">
        <v>4741</v>
      </c>
      <c r="C1920" s="120">
        <v>45937</v>
      </c>
      <c r="D1920" s="12" t="s">
        <v>4742</v>
      </c>
      <c r="E1920" s="136"/>
      <c r="F1920" s="12" t="s">
        <v>4743</v>
      </c>
      <c r="G1920" s="137"/>
      <c r="H1920" s="67"/>
      <c r="I1920" s="71"/>
      <c r="J1920" s="72">
        <v>785</v>
      </c>
      <c r="K1920" s="88" t="s">
        <v>17</v>
      </c>
      <c r="L1920" s="73"/>
      <c r="M1920" s="11" t="s">
        <v>3698</v>
      </c>
    </row>
    <row r="1921" spans="2:13" ht="15" customHeight="1" x14ac:dyDescent="0.25">
      <c r="B1921" s="45" t="s">
        <v>4744</v>
      </c>
      <c r="C1921" s="120">
        <v>45937</v>
      </c>
      <c r="D1921" s="12" t="s">
        <v>27</v>
      </c>
      <c r="E1921" s="136"/>
      <c r="F1921" s="12" t="s">
        <v>4745</v>
      </c>
      <c r="G1921" s="137"/>
      <c r="H1921" s="67"/>
      <c r="I1921" s="71"/>
      <c r="J1921" s="72">
        <v>3156</v>
      </c>
      <c r="K1921" s="88" t="s">
        <v>17</v>
      </c>
      <c r="L1921" s="73"/>
      <c r="M1921" s="11" t="s">
        <v>31</v>
      </c>
    </row>
    <row r="1922" spans="2:13" ht="15" customHeight="1" x14ac:dyDescent="0.25">
      <c r="B1922" s="45" t="s">
        <v>4746</v>
      </c>
      <c r="C1922" s="120">
        <v>45937</v>
      </c>
      <c r="D1922" s="12" t="s">
        <v>27</v>
      </c>
      <c r="E1922" s="136"/>
      <c r="F1922" s="12" t="s">
        <v>107</v>
      </c>
      <c r="G1922" s="137"/>
      <c r="H1922" s="67"/>
      <c r="I1922" s="71"/>
      <c r="J1922" s="72">
        <v>150</v>
      </c>
      <c r="K1922" s="88" t="s">
        <v>17</v>
      </c>
      <c r="L1922" s="73"/>
      <c r="M1922" s="11" t="s">
        <v>31</v>
      </c>
    </row>
    <row r="1923" spans="2:13" ht="15" customHeight="1" x14ac:dyDescent="0.25">
      <c r="B1923" s="45" t="s">
        <v>4747</v>
      </c>
      <c r="C1923" s="120">
        <v>45937</v>
      </c>
      <c r="D1923" s="12" t="s">
        <v>48</v>
      </c>
      <c r="E1923" s="136"/>
      <c r="F1923" s="12" t="s">
        <v>1247</v>
      </c>
      <c r="G1923" s="137"/>
      <c r="H1923" s="67"/>
      <c r="I1923" s="71"/>
      <c r="J1923" s="72">
        <v>180</v>
      </c>
      <c r="K1923" s="88" t="s">
        <v>17</v>
      </c>
      <c r="L1923" s="73"/>
      <c r="M1923" s="11" t="s">
        <v>31</v>
      </c>
    </row>
    <row r="1924" spans="2:13" ht="15" customHeight="1" x14ac:dyDescent="0.25">
      <c r="B1924" s="45" t="s">
        <v>4748</v>
      </c>
      <c r="C1924" s="120">
        <v>45937</v>
      </c>
      <c r="D1924" s="12" t="s">
        <v>1459</v>
      </c>
      <c r="E1924" s="136"/>
      <c r="F1924" s="12" t="s">
        <v>4749</v>
      </c>
      <c r="G1924" s="137"/>
      <c r="H1924" s="67"/>
      <c r="I1924" s="71"/>
      <c r="J1924" s="72">
        <v>13375</v>
      </c>
      <c r="K1924" s="88" t="s">
        <v>17</v>
      </c>
      <c r="L1924" s="73"/>
      <c r="M1924" s="11" t="s">
        <v>3698</v>
      </c>
    </row>
    <row r="1925" spans="2:13" ht="15" customHeight="1" x14ac:dyDescent="0.25">
      <c r="B1925" s="45" t="s">
        <v>4750</v>
      </c>
      <c r="C1925" s="120">
        <v>45938</v>
      </c>
      <c r="D1925" s="12" t="s">
        <v>1060</v>
      </c>
      <c r="E1925" s="136"/>
      <c r="F1925" s="12" t="s">
        <v>4751</v>
      </c>
      <c r="G1925" s="137"/>
      <c r="H1925" s="67"/>
      <c r="I1925" s="71"/>
      <c r="J1925" s="72">
        <v>345</v>
      </c>
      <c r="K1925" s="88" t="s">
        <v>17</v>
      </c>
      <c r="L1925" s="73"/>
      <c r="M1925" s="11" t="s">
        <v>31</v>
      </c>
    </row>
    <row r="1926" spans="2:13" ht="15" customHeight="1" x14ac:dyDescent="0.25">
      <c r="B1926" s="45" t="s">
        <v>4752</v>
      </c>
      <c r="C1926" s="120">
        <v>45938</v>
      </c>
      <c r="D1926" s="12" t="s">
        <v>429</v>
      </c>
      <c r="E1926" s="136"/>
      <c r="F1926" s="12" t="s">
        <v>4753</v>
      </c>
      <c r="G1926" s="137"/>
      <c r="H1926" s="67"/>
      <c r="I1926" s="71"/>
      <c r="J1926" s="72">
        <v>950</v>
      </c>
      <c r="K1926" s="88" t="s">
        <v>17</v>
      </c>
      <c r="L1926" s="73"/>
      <c r="M1926" s="11" t="s">
        <v>3698</v>
      </c>
    </row>
    <row r="1927" spans="2:13" ht="15" customHeight="1" x14ac:dyDescent="0.25">
      <c r="B1927" s="45" t="s">
        <v>4754</v>
      </c>
      <c r="C1927" s="120">
        <v>45938</v>
      </c>
      <c r="D1927" s="12" t="s">
        <v>3291</v>
      </c>
      <c r="E1927" s="136"/>
      <c r="F1927" s="12" t="s">
        <v>4755</v>
      </c>
      <c r="G1927" s="137"/>
      <c r="H1927" s="67"/>
      <c r="I1927" s="71"/>
      <c r="J1927" s="72">
        <v>675</v>
      </c>
      <c r="K1927" s="88" t="s">
        <v>17</v>
      </c>
      <c r="L1927" s="73"/>
      <c r="M1927" s="11" t="s">
        <v>3698</v>
      </c>
    </row>
    <row r="1928" spans="2:13" ht="15" customHeight="1" x14ac:dyDescent="0.25">
      <c r="B1928" s="45" t="s">
        <v>4756</v>
      </c>
      <c r="C1928" s="120">
        <v>45939</v>
      </c>
      <c r="D1928" s="12" t="s">
        <v>3416</v>
      </c>
      <c r="E1928" s="136"/>
      <c r="F1928" s="12" t="s">
        <v>4757</v>
      </c>
      <c r="G1928" s="137"/>
      <c r="H1928" s="67"/>
      <c r="I1928" s="71"/>
      <c r="J1928" s="72">
        <v>210</v>
      </c>
      <c r="K1928" s="88" t="s">
        <v>461</v>
      </c>
      <c r="L1928" s="73"/>
      <c r="M1928" s="11" t="s">
        <v>3698</v>
      </c>
    </row>
    <row r="1929" spans="2:13" ht="15" customHeight="1" x14ac:dyDescent="0.25">
      <c r="B1929" s="45" t="s">
        <v>4758</v>
      </c>
      <c r="C1929" s="120">
        <v>45939</v>
      </c>
      <c r="D1929" s="12" t="s">
        <v>639</v>
      </c>
      <c r="E1929" s="136"/>
      <c r="F1929" s="12" t="s">
        <v>4759</v>
      </c>
      <c r="G1929" s="137"/>
      <c r="H1929" s="67"/>
      <c r="I1929" s="71"/>
      <c r="J1929" s="72">
        <v>195</v>
      </c>
      <c r="K1929" s="88" t="s">
        <v>17</v>
      </c>
      <c r="L1929" s="73"/>
      <c r="M1929" s="11" t="s">
        <v>31</v>
      </c>
    </row>
    <row r="1930" spans="2:13" ht="15" customHeight="1" x14ac:dyDescent="0.25">
      <c r="B1930" s="45" t="s">
        <v>4760</v>
      </c>
      <c r="C1930" s="120">
        <v>45939</v>
      </c>
      <c r="D1930" s="12" t="s">
        <v>241</v>
      </c>
      <c r="E1930" s="136"/>
      <c r="F1930" s="12" t="s">
        <v>4761</v>
      </c>
      <c r="G1930" s="137"/>
      <c r="H1930" s="67"/>
      <c r="I1930" s="71"/>
      <c r="J1930" s="72">
        <v>405</v>
      </c>
      <c r="K1930" s="88" t="s">
        <v>17</v>
      </c>
      <c r="L1930" s="73"/>
      <c r="M1930" s="11" t="s">
        <v>31</v>
      </c>
    </row>
    <row r="1931" spans="2:13" ht="15" customHeight="1" x14ac:dyDescent="0.25">
      <c r="B1931" s="45" t="s">
        <v>4762</v>
      </c>
      <c r="C1931" s="120">
        <v>45940</v>
      </c>
      <c r="D1931" s="12" t="s">
        <v>2891</v>
      </c>
      <c r="E1931" s="136"/>
      <c r="F1931" s="12" t="s">
        <v>4763</v>
      </c>
      <c r="G1931" s="137"/>
      <c r="H1931" s="67"/>
      <c r="I1931" s="71"/>
      <c r="J1931" s="72">
        <v>385</v>
      </c>
      <c r="K1931" s="88" t="s">
        <v>3625</v>
      </c>
      <c r="L1931" s="73"/>
      <c r="M1931" s="11" t="s">
        <v>18</v>
      </c>
    </row>
    <row r="1932" spans="2:13" ht="15" customHeight="1" x14ac:dyDescent="0.25">
      <c r="B1932" s="45" t="s">
        <v>4764</v>
      </c>
      <c r="C1932" s="120">
        <v>45940</v>
      </c>
      <c r="D1932" s="12" t="s">
        <v>3253</v>
      </c>
      <c r="E1932" s="136"/>
      <c r="F1932" s="12" t="s">
        <v>4765</v>
      </c>
      <c r="G1932" s="137"/>
      <c r="H1932" s="67"/>
      <c r="I1932" s="71"/>
      <c r="J1932" s="72">
        <v>62600</v>
      </c>
      <c r="K1932" s="88" t="s">
        <v>17</v>
      </c>
      <c r="L1932" s="73"/>
      <c r="M1932" s="11" t="s">
        <v>3698</v>
      </c>
    </row>
    <row r="1933" spans="2:13" ht="15" customHeight="1" x14ac:dyDescent="0.25">
      <c r="B1933" s="45" t="s">
        <v>4766</v>
      </c>
      <c r="C1933" s="120">
        <v>45943</v>
      </c>
      <c r="D1933" s="12" t="s">
        <v>211</v>
      </c>
      <c r="E1933" s="136"/>
      <c r="F1933" s="12" t="s">
        <v>4767</v>
      </c>
      <c r="G1933" s="137"/>
      <c r="H1933" s="67"/>
      <c r="I1933" s="71"/>
      <c r="J1933" s="72">
        <v>53500</v>
      </c>
      <c r="K1933" s="88" t="s">
        <v>17</v>
      </c>
      <c r="L1933" s="73"/>
      <c r="M1933" s="11" t="s">
        <v>31</v>
      </c>
    </row>
    <row r="1934" spans="2:13" ht="15" customHeight="1" x14ac:dyDescent="0.25">
      <c r="B1934" s="45" t="s">
        <v>4768</v>
      </c>
      <c r="C1934" s="120">
        <v>45943</v>
      </c>
      <c r="D1934" s="12" t="s">
        <v>639</v>
      </c>
      <c r="E1934" s="136"/>
      <c r="F1934" s="12" t="s">
        <v>4769</v>
      </c>
      <c r="G1934" s="137"/>
      <c r="H1934" s="67"/>
      <c r="I1934" s="71"/>
      <c r="J1934" s="72">
        <v>986.5</v>
      </c>
      <c r="K1934" s="88" t="s">
        <v>17</v>
      </c>
      <c r="L1934" s="73"/>
      <c r="M1934" s="11" t="s">
        <v>31</v>
      </c>
    </row>
    <row r="1935" spans="2:13" ht="15" customHeight="1" x14ac:dyDescent="0.25">
      <c r="B1935" s="45" t="s">
        <v>4770</v>
      </c>
      <c r="C1935" s="120">
        <v>45943</v>
      </c>
      <c r="D1935" s="12" t="s">
        <v>4481</v>
      </c>
      <c r="E1935" s="136"/>
      <c r="F1935" s="12" t="s">
        <v>4753</v>
      </c>
      <c r="G1935" s="137"/>
      <c r="H1935" s="67"/>
      <c r="I1935" s="71"/>
      <c r="J1935" s="72">
        <v>360</v>
      </c>
      <c r="K1935" s="88" t="s">
        <v>17</v>
      </c>
      <c r="L1935" s="73"/>
      <c r="M1935" s="11" t="s">
        <v>3698</v>
      </c>
    </row>
    <row r="1936" spans="2:13" ht="15" customHeight="1" x14ac:dyDescent="0.25">
      <c r="B1936" s="45" t="s">
        <v>4771</v>
      </c>
      <c r="C1936" s="120">
        <v>45943</v>
      </c>
      <c r="D1936" s="12" t="s">
        <v>3833</v>
      </c>
      <c r="E1936" s="136"/>
      <c r="F1936" s="12" t="s">
        <v>4772</v>
      </c>
      <c r="G1936" s="137"/>
      <c r="H1936" s="67"/>
      <c r="I1936" s="71"/>
      <c r="J1936" s="72">
        <v>592.5</v>
      </c>
      <c r="K1936" s="88" t="s">
        <v>1874</v>
      </c>
      <c r="L1936" s="73"/>
      <c r="M1936" s="11" t="s">
        <v>3698</v>
      </c>
    </row>
    <row r="1937" spans="2:13" ht="15" customHeight="1" x14ac:dyDescent="0.25">
      <c r="B1937" s="45" t="s">
        <v>4773</v>
      </c>
      <c r="C1937" s="120">
        <v>45944</v>
      </c>
      <c r="D1937" s="12" t="s">
        <v>2871</v>
      </c>
      <c r="E1937" s="136"/>
      <c r="F1937" s="12" t="s">
        <v>4774</v>
      </c>
      <c r="G1937" s="137"/>
      <c r="H1937" s="67"/>
      <c r="I1937" s="71"/>
      <c r="J1937" s="72">
        <v>10430</v>
      </c>
      <c r="K1937" s="88" t="s">
        <v>17</v>
      </c>
      <c r="L1937" s="73"/>
      <c r="M1937" s="11" t="s">
        <v>3698</v>
      </c>
    </row>
    <row r="1938" spans="2:13" ht="15" customHeight="1" x14ac:dyDescent="0.25">
      <c r="B1938" s="45" t="s">
        <v>4775</v>
      </c>
      <c r="C1938" s="120">
        <v>45944</v>
      </c>
      <c r="D1938" s="12" t="s">
        <v>4776</v>
      </c>
      <c r="E1938" s="136"/>
      <c r="F1938" s="12" t="s">
        <v>4777</v>
      </c>
      <c r="G1938" s="137"/>
      <c r="H1938" s="67"/>
      <c r="I1938" s="71"/>
      <c r="J1938" s="72">
        <v>4250</v>
      </c>
      <c r="K1938" s="88" t="s">
        <v>3625</v>
      </c>
      <c r="L1938" s="73"/>
      <c r="M1938" s="11" t="s">
        <v>3698</v>
      </c>
    </row>
    <row r="1939" spans="2:13" ht="15" customHeight="1" x14ac:dyDescent="0.25">
      <c r="B1939" s="45" t="s">
        <v>4778</v>
      </c>
      <c r="C1939" s="120">
        <v>45943</v>
      </c>
      <c r="D1939" s="12" t="s">
        <v>27</v>
      </c>
      <c r="E1939" s="136"/>
      <c r="F1939" s="12" t="s">
        <v>4779</v>
      </c>
      <c r="G1939" s="137"/>
      <c r="H1939" s="67"/>
      <c r="I1939" s="71"/>
      <c r="J1939" s="72">
        <v>350.75</v>
      </c>
      <c r="K1939" s="88" t="s">
        <v>17</v>
      </c>
      <c r="L1939" s="73"/>
      <c r="M1939" s="11" t="s">
        <v>31</v>
      </c>
    </row>
    <row r="1940" spans="2:13" ht="15" customHeight="1" x14ac:dyDescent="0.25">
      <c r="B1940" s="45" t="s">
        <v>4780</v>
      </c>
      <c r="C1940" s="120">
        <v>45944</v>
      </c>
      <c r="D1940" s="12" t="s">
        <v>211</v>
      </c>
      <c r="E1940" s="136"/>
      <c r="F1940" s="12" t="s">
        <v>4781</v>
      </c>
      <c r="G1940" s="137"/>
      <c r="H1940" s="67"/>
      <c r="I1940" s="71"/>
      <c r="J1940" s="72">
        <v>160</v>
      </c>
      <c r="K1940" s="88" t="s">
        <v>3625</v>
      </c>
      <c r="L1940" s="73"/>
      <c r="M1940" s="11" t="s">
        <v>31</v>
      </c>
    </row>
    <row r="1941" spans="2:13" ht="15" customHeight="1" x14ac:dyDescent="0.25">
      <c r="B1941" s="45" t="s">
        <v>4782</v>
      </c>
      <c r="C1941" s="120">
        <v>45944</v>
      </c>
      <c r="D1941" s="12" t="s">
        <v>3723</v>
      </c>
      <c r="E1941" s="136"/>
      <c r="F1941" s="12" t="s">
        <v>4783</v>
      </c>
      <c r="G1941" s="137"/>
      <c r="H1941" s="67"/>
      <c r="I1941" s="71"/>
      <c r="J1941" s="72">
        <v>4650</v>
      </c>
      <c r="K1941" s="88" t="s">
        <v>17</v>
      </c>
      <c r="L1941" s="73"/>
      <c r="M1941" s="11" t="s">
        <v>31</v>
      </c>
    </row>
    <row r="1942" spans="2:13" ht="15" customHeight="1" x14ac:dyDescent="0.25">
      <c r="B1942" s="45" t="s">
        <v>4784</v>
      </c>
      <c r="C1942" s="120">
        <v>45944</v>
      </c>
      <c r="D1942" s="12" t="s">
        <v>1060</v>
      </c>
      <c r="E1942" s="136"/>
      <c r="F1942" s="12" t="s">
        <v>4785</v>
      </c>
      <c r="G1942" s="137"/>
      <c r="H1942" s="67"/>
      <c r="I1942" s="71"/>
      <c r="J1942" s="72">
        <v>1395</v>
      </c>
      <c r="K1942" s="88" t="s">
        <v>17</v>
      </c>
      <c r="L1942" s="73"/>
      <c r="M1942" s="11" t="s">
        <v>31</v>
      </c>
    </row>
    <row r="1943" spans="2:13" ht="15" customHeight="1" x14ac:dyDescent="0.25">
      <c r="B1943" s="45" t="s">
        <v>4786</v>
      </c>
      <c r="C1943" s="120">
        <v>45944</v>
      </c>
      <c r="D1943" s="12" t="s">
        <v>4564</v>
      </c>
      <c r="E1943" s="136"/>
      <c r="F1943" s="12" t="s">
        <v>4787</v>
      </c>
      <c r="G1943" s="137"/>
      <c r="H1943" s="67"/>
      <c r="I1943" s="71"/>
      <c r="J1943" s="72">
        <v>319.2</v>
      </c>
      <c r="K1943" s="88" t="s">
        <v>17</v>
      </c>
      <c r="L1943" s="73"/>
      <c r="M1943" s="11" t="s">
        <v>3698</v>
      </c>
    </row>
    <row r="1944" spans="2:13" ht="15" customHeight="1" x14ac:dyDescent="0.25">
      <c r="B1944" s="45" t="s">
        <v>4788</v>
      </c>
      <c r="C1944" s="120">
        <v>45944</v>
      </c>
      <c r="D1944" s="12" t="s">
        <v>4789</v>
      </c>
      <c r="E1944" s="136"/>
      <c r="F1944" s="12" t="s">
        <v>4790</v>
      </c>
      <c r="G1944" s="137"/>
      <c r="H1944" s="67"/>
      <c r="I1944" s="71"/>
      <c r="J1944" s="72">
        <v>90</v>
      </c>
      <c r="K1944" s="88" t="s">
        <v>17</v>
      </c>
      <c r="L1944" s="73"/>
      <c r="M1944" s="11" t="s">
        <v>3698</v>
      </c>
    </row>
    <row r="1945" spans="2:13" ht="15" customHeight="1" x14ac:dyDescent="0.25">
      <c r="B1945" s="45" t="s">
        <v>4791</v>
      </c>
      <c r="C1945" s="120">
        <v>45944</v>
      </c>
      <c r="D1945" s="12" t="s">
        <v>255</v>
      </c>
      <c r="E1945" s="136"/>
      <c r="F1945" s="12" t="s">
        <v>1146</v>
      </c>
      <c r="G1945" s="137"/>
      <c r="H1945" s="67"/>
      <c r="I1945" s="71"/>
      <c r="J1945" s="72">
        <v>270</v>
      </c>
      <c r="K1945" s="88" t="s">
        <v>17</v>
      </c>
      <c r="L1945" s="73"/>
      <c r="M1945" s="11" t="s">
        <v>3698</v>
      </c>
    </row>
    <row r="1946" spans="2:13" ht="15" customHeight="1" x14ac:dyDescent="0.25">
      <c r="B1946" s="45" t="s">
        <v>4792</v>
      </c>
      <c r="C1946" s="120">
        <v>45945</v>
      </c>
      <c r="D1946" s="12" t="s">
        <v>4793</v>
      </c>
      <c r="E1946" s="136"/>
      <c r="F1946" s="12" t="s">
        <v>4794</v>
      </c>
      <c r="G1946" s="137"/>
      <c r="H1946" s="67"/>
      <c r="I1946" s="71"/>
      <c r="J1946" s="72">
        <v>5460</v>
      </c>
      <c r="K1946" s="88" t="s">
        <v>3625</v>
      </c>
      <c r="L1946" s="73"/>
      <c r="M1946" s="11" t="s">
        <v>3698</v>
      </c>
    </row>
    <row r="1947" spans="2:13" ht="15" customHeight="1" x14ac:dyDescent="0.25">
      <c r="B1947" s="45" t="s">
        <v>4795</v>
      </c>
      <c r="C1947" s="120">
        <v>45945</v>
      </c>
      <c r="D1947" s="12" t="s">
        <v>4796</v>
      </c>
      <c r="E1947" s="136"/>
      <c r="F1947" s="12" t="s">
        <v>4797</v>
      </c>
      <c r="G1947" s="137"/>
      <c r="H1947" s="67"/>
      <c r="I1947" s="71"/>
      <c r="J1947" s="72">
        <v>2355</v>
      </c>
      <c r="K1947" s="88" t="s">
        <v>3625</v>
      </c>
      <c r="L1947" s="73"/>
      <c r="M1947" s="11" t="s">
        <v>3698</v>
      </c>
    </row>
    <row r="1948" spans="2:13" ht="15" customHeight="1" x14ac:dyDescent="0.25">
      <c r="B1948" s="45" t="s">
        <v>4798</v>
      </c>
      <c r="C1948" s="120">
        <v>45945</v>
      </c>
      <c r="D1948" s="12" t="s">
        <v>27</v>
      </c>
      <c r="E1948" s="136"/>
      <c r="F1948" s="12" t="s">
        <v>4799</v>
      </c>
      <c r="G1948" s="137"/>
      <c r="H1948" s="67"/>
      <c r="I1948" s="71"/>
      <c r="J1948" s="72">
        <v>4236.75</v>
      </c>
      <c r="K1948" s="88" t="s">
        <v>17</v>
      </c>
      <c r="L1948" s="73"/>
      <c r="M1948" s="11" t="s">
        <v>31</v>
      </c>
    </row>
    <row r="1949" spans="2:13" ht="15" customHeight="1" x14ac:dyDescent="0.25">
      <c r="B1949" s="45" t="s">
        <v>4800</v>
      </c>
      <c r="C1949" s="120">
        <v>45946</v>
      </c>
      <c r="D1949" s="12" t="s">
        <v>3634</v>
      </c>
      <c r="E1949" s="136"/>
      <c r="F1949" s="12" t="s">
        <v>4801</v>
      </c>
      <c r="G1949" s="137"/>
      <c r="H1949" s="67"/>
      <c r="I1949" s="71"/>
      <c r="J1949" s="72">
        <v>810</v>
      </c>
      <c r="K1949" s="88" t="s">
        <v>17</v>
      </c>
      <c r="L1949" s="73"/>
      <c r="M1949" s="11" t="s">
        <v>31</v>
      </c>
    </row>
    <row r="1950" spans="2:13" ht="15" customHeight="1" x14ac:dyDescent="0.25">
      <c r="B1950" s="45" t="s">
        <v>4802</v>
      </c>
      <c r="C1950" s="120">
        <v>45945</v>
      </c>
      <c r="D1950" s="12" t="s">
        <v>211</v>
      </c>
      <c r="E1950" s="136"/>
      <c r="F1950" s="12" t="s">
        <v>4803</v>
      </c>
      <c r="G1950" s="137"/>
      <c r="H1950" s="67"/>
      <c r="I1950" s="71"/>
      <c r="J1950" s="72">
        <v>160</v>
      </c>
      <c r="K1950" s="88" t="s">
        <v>17</v>
      </c>
      <c r="L1950" s="73"/>
      <c r="M1950" s="11" t="s">
        <v>31</v>
      </c>
    </row>
    <row r="1951" spans="2:13" ht="15" customHeight="1" x14ac:dyDescent="0.25">
      <c r="B1951" s="45" t="s">
        <v>4804</v>
      </c>
      <c r="C1951" s="120">
        <v>45946</v>
      </c>
      <c r="D1951" s="12" t="s">
        <v>564</v>
      </c>
      <c r="E1951" s="136"/>
      <c r="F1951" s="12" t="s">
        <v>4805</v>
      </c>
      <c r="G1951" s="137"/>
      <c r="H1951" s="67"/>
      <c r="I1951" s="71"/>
      <c r="J1951" s="72">
        <v>2230</v>
      </c>
      <c r="K1951" s="88" t="s">
        <v>17</v>
      </c>
      <c r="L1951" s="73"/>
      <c r="M1951" s="11" t="s">
        <v>3698</v>
      </c>
    </row>
    <row r="1952" spans="2:13" ht="15" customHeight="1" x14ac:dyDescent="0.25">
      <c r="B1952" s="45" t="s">
        <v>4806</v>
      </c>
      <c r="C1952" s="120">
        <v>45945</v>
      </c>
      <c r="D1952" s="12" t="s">
        <v>3298</v>
      </c>
      <c r="E1952" s="136"/>
      <c r="F1952" s="12" t="s">
        <v>4807</v>
      </c>
      <c r="G1952" s="137"/>
      <c r="H1952" s="67"/>
      <c r="I1952" s="71"/>
      <c r="J1952" s="72">
        <v>213</v>
      </c>
      <c r="K1952" s="88" t="s">
        <v>17</v>
      </c>
      <c r="L1952" s="73"/>
      <c r="M1952" s="11" t="s">
        <v>3698</v>
      </c>
    </row>
    <row r="1953" spans="2:13" ht="15" customHeight="1" x14ac:dyDescent="0.25">
      <c r="B1953" s="45" t="s">
        <v>4808</v>
      </c>
      <c r="C1953" s="120">
        <v>45945</v>
      </c>
      <c r="D1953" s="12" t="s">
        <v>4809</v>
      </c>
      <c r="E1953" t="s">
        <v>4809</v>
      </c>
      <c r="F1953" s="12" t="s">
        <v>4810</v>
      </c>
      <c r="G1953" s="137"/>
      <c r="H1953" s="67"/>
      <c r="I1953" s="71"/>
      <c r="J1953" s="72">
        <v>2513.5</v>
      </c>
      <c r="K1953" s="88" t="s">
        <v>3625</v>
      </c>
      <c r="L1953" s="73"/>
      <c r="M1953" s="11" t="s">
        <v>18</v>
      </c>
    </row>
    <row r="1954" spans="2:13" ht="15" customHeight="1" x14ac:dyDescent="0.25">
      <c r="B1954" s="45" t="s">
        <v>4811</v>
      </c>
      <c r="C1954" s="120">
        <v>45947</v>
      </c>
      <c r="D1954" s="12" t="s">
        <v>4812</v>
      </c>
      <c r="E1954" s="136"/>
      <c r="F1954" s="12" t="s">
        <v>2674</v>
      </c>
      <c r="G1954" s="137"/>
      <c r="H1954" s="67"/>
      <c r="I1954" s="71"/>
      <c r="J1954" s="72">
        <v>150</v>
      </c>
      <c r="K1954" s="88" t="s">
        <v>3625</v>
      </c>
      <c r="L1954" s="73"/>
      <c r="M1954" s="11" t="s">
        <v>3698</v>
      </c>
    </row>
    <row r="1955" spans="2:13" ht="15" customHeight="1" x14ac:dyDescent="0.25">
      <c r="B1955" s="45" t="s">
        <v>4813</v>
      </c>
      <c r="C1955" s="120">
        <v>45946</v>
      </c>
      <c r="D1955" s="12" t="s">
        <v>2546</v>
      </c>
      <c r="E1955" s="136"/>
      <c r="F1955" s="12" t="s">
        <v>4814</v>
      </c>
      <c r="G1955" s="137"/>
      <c r="H1955" s="67"/>
      <c r="I1955" s="71"/>
      <c r="J1955" s="72">
        <v>210</v>
      </c>
      <c r="K1955" s="88" t="s">
        <v>17</v>
      </c>
      <c r="L1955" s="73"/>
      <c r="M1955" s="11" t="s">
        <v>3698</v>
      </c>
    </row>
    <row r="1956" spans="2:13" ht="15" customHeight="1" x14ac:dyDescent="0.25">
      <c r="B1956" s="45" t="s">
        <v>4815</v>
      </c>
      <c r="C1956" s="120">
        <v>45947</v>
      </c>
      <c r="D1956" s="12" t="s">
        <v>3298</v>
      </c>
      <c r="E1956" s="136"/>
      <c r="F1956" s="12" t="s">
        <v>4816</v>
      </c>
      <c r="G1956" s="137"/>
      <c r="H1956" s="67"/>
      <c r="I1956" s="71"/>
      <c r="J1956" s="72">
        <v>175</v>
      </c>
      <c r="K1956" s="88" t="s">
        <v>17</v>
      </c>
      <c r="L1956" s="73"/>
      <c r="M1956" s="11" t="s">
        <v>3698</v>
      </c>
    </row>
    <row r="1957" spans="2:13" ht="15" customHeight="1" x14ac:dyDescent="0.25">
      <c r="B1957" s="45" t="s">
        <v>4817</v>
      </c>
      <c r="C1957" s="120">
        <v>45947</v>
      </c>
      <c r="D1957" s="12" t="s">
        <v>27</v>
      </c>
      <c r="E1957" s="136"/>
      <c r="F1957" s="12" t="s">
        <v>4818</v>
      </c>
      <c r="G1957" s="137"/>
      <c r="H1957" s="67"/>
      <c r="I1957" s="71"/>
      <c r="J1957" s="72">
        <v>7175</v>
      </c>
      <c r="K1957" s="88" t="s">
        <v>17</v>
      </c>
      <c r="L1957" s="73"/>
      <c r="M1957" s="11" t="s">
        <v>31</v>
      </c>
    </row>
    <row r="1958" spans="2:13" ht="15" customHeight="1" x14ac:dyDescent="0.25">
      <c r="B1958" s="45" t="s">
        <v>4819</v>
      </c>
      <c r="C1958" s="120">
        <v>45947</v>
      </c>
      <c r="D1958" s="12" t="s">
        <v>27</v>
      </c>
      <c r="E1958" s="136"/>
      <c r="F1958" s="12" t="s">
        <v>4820</v>
      </c>
      <c r="G1958" s="137"/>
      <c r="H1958" s="67"/>
      <c r="I1958" s="71"/>
      <c r="J1958" s="72">
        <v>13222.5</v>
      </c>
      <c r="K1958" s="88" t="s">
        <v>17</v>
      </c>
      <c r="L1958" s="73"/>
      <c r="M1958" s="11" t="s">
        <v>31</v>
      </c>
    </row>
    <row r="1959" spans="2:13" ht="15" customHeight="1" x14ac:dyDescent="0.25">
      <c r="B1959" s="45" t="s">
        <v>4821</v>
      </c>
      <c r="C1959" s="120">
        <v>45947</v>
      </c>
      <c r="D1959" s="12" t="s">
        <v>4822</v>
      </c>
      <c r="E1959" s="136"/>
      <c r="F1959" s="12" t="s">
        <v>3760</v>
      </c>
      <c r="G1959" s="137"/>
      <c r="H1959" s="67"/>
      <c r="I1959" s="71"/>
      <c r="J1959" s="72">
        <v>695</v>
      </c>
      <c r="K1959" s="88" t="s">
        <v>17</v>
      </c>
      <c r="L1959" s="73"/>
      <c r="M1959" s="11" t="s">
        <v>3698</v>
      </c>
    </row>
    <row r="1960" spans="2:13" ht="15" customHeight="1" x14ac:dyDescent="0.25">
      <c r="B1960" s="45" t="s">
        <v>4823</v>
      </c>
      <c r="C1960" s="120">
        <v>45947</v>
      </c>
      <c r="D1960" s="12" t="s">
        <v>4824</v>
      </c>
      <c r="E1960" s="136"/>
      <c r="F1960" s="12" t="s">
        <v>4825</v>
      </c>
      <c r="G1960" s="137"/>
      <c r="H1960" s="67"/>
      <c r="I1960" s="71"/>
      <c r="J1960" s="72">
        <v>75</v>
      </c>
      <c r="K1960" s="88" t="s">
        <v>3625</v>
      </c>
      <c r="L1960" s="73"/>
      <c r="M1960" s="11" t="s">
        <v>31</v>
      </c>
    </row>
    <row r="1961" spans="2:13" ht="15" customHeight="1" x14ac:dyDescent="0.25">
      <c r="B1961" s="45" t="s">
        <v>4826</v>
      </c>
      <c r="C1961" s="120">
        <v>45948</v>
      </c>
      <c r="D1961" s="12" t="s">
        <v>4827</v>
      </c>
      <c r="E1961" s="136"/>
      <c r="F1961" s="12" t="s">
        <v>922</v>
      </c>
      <c r="G1961" s="137"/>
      <c r="H1961" s="67"/>
      <c r="I1961" s="71"/>
      <c r="J1961" s="72">
        <v>295</v>
      </c>
      <c r="K1961" s="88" t="s">
        <v>17</v>
      </c>
      <c r="L1961" s="73"/>
      <c r="M1961" s="11" t="s">
        <v>31</v>
      </c>
    </row>
    <row r="1962" spans="2:13" ht="15" customHeight="1" x14ac:dyDescent="0.25">
      <c r="B1962" s="45" t="s">
        <v>4828</v>
      </c>
      <c r="C1962" s="120">
        <v>45948</v>
      </c>
      <c r="D1962" s="12" t="s">
        <v>4300</v>
      </c>
      <c r="E1962" s="136"/>
      <c r="F1962" s="12" t="s">
        <v>511</v>
      </c>
      <c r="G1962" s="137"/>
      <c r="H1962" s="67"/>
      <c r="I1962" s="71"/>
      <c r="J1962" s="72">
        <v>280</v>
      </c>
      <c r="K1962" s="88" t="s">
        <v>17</v>
      </c>
      <c r="L1962" s="73"/>
      <c r="M1962" s="11" t="s">
        <v>31</v>
      </c>
    </row>
    <row r="1963" spans="2:13" ht="15" customHeight="1" x14ac:dyDescent="0.25">
      <c r="B1963" s="45" t="s">
        <v>4829</v>
      </c>
      <c r="C1963" s="120">
        <v>45948</v>
      </c>
      <c r="D1963" t="s">
        <v>27</v>
      </c>
      <c r="E1963" s="136"/>
      <c r="F1963" t="s">
        <v>4830</v>
      </c>
      <c r="G1963" s="137"/>
      <c r="H1963" s="67"/>
      <c r="I1963" s="71"/>
      <c r="J1963" s="72">
        <v>5660</v>
      </c>
      <c r="K1963" s="88" t="s">
        <v>17</v>
      </c>
      <c r="L1963" s="73"/>
      <c r="M1963" s="11" t="s">
        <v>31</v>
      </c>
    </row>
    <row r="1964" spans="2:13" ht="15" customHeight="1" x14ac:dyDescent="0.25">
      <c r="B1964" s="45" t="s">
        <v>4831</v>
      </c>
      <c r="C1964" s="120">
        <v>45948</v>
      </c>
      <c r="D1964" t="s">
        <v>27</v>
      </c>
      <c r="E1964" s="136"/>
      <c r="F1964" t="s">
        <v>4832</v>
      </c>
      <c r="G1964" s="137"/>
      <c r="H1964" s="67"/>
      <c r="I1964" s="71"/>
      <c r="J1964" s="72">
        <v>2385</v>
      </c>
      <c r="K1964" s="88" t="s">
        <v>17</v>
      </c>
      <c r="L1964" s="73"/>
      <c r="M1964" s="11" t="s">
        <v>31</v>
      </c>
    </row>
    <row r="1965" spans="2:13" ht="15" customHeight="1" x14ac:dyDescent="0.25">
      <c r="B1965" s="45" t="s">
        <v>4833</v>
      </c>
      <c r="C1965" s="120">
        <v>45950</v>
      </c>
      <c r="D1965" t="s">
        <v>2943</v>
      </c>
      <c r="E1965" s="136"/>
      <c r="F1965" t="s">
        <v>4834</v>
      </c>
      <c r="G1965" s="137"/>
      <c r="H1965" s="67"/>
      <c r="I1965" s="71"/>
      <c r="J1965" s="72">
        <v>1400</v>
      </c>
      <c r="K1965" s="88" t="s">
        <v>3625</v>
      </c>
      <c r="L1965" s="73"/>
      <c r="M1965" s="11" t="s">
        <v>18</v>
      </c>
    </row>
    <row r="1966" spans="2:13" ht="15" customHeight="1" x14ac:dyDescent="0.25">
      <c r="B1966" s="45" t="s">
        <v>4835</v>
      </c>
      <c r="C1966" s="120">
        <v>45950</v>
      </c>
      <c r="D1966" t="s">
        <v>4836</v>
      </c>
      <c r="E1966" s="136"/>
      <c r="F1966" t="s">
        <v>4837</v>
      </c>
      <c r="G1966" s="137"/>
      <c r="H1966" s="67"/>
      <c r="I1966" s="71"/>
      <c r="J1966" s="72">
        <v>1635</v>
      </c>
      <c r="K1966" s="88" t="s">
        <v>1874</v>
      </c>
      <c r="L1966" s="73"/>
      <c r="M1966" s="11" t="s">
        <v>18</v>
      </c>
    </row>
    <row r="1967" spans="2:13" ht="15" customHeight="1" x14ac:dyDescent="0.25">
      <c r="B1967" s="45" t="s">
        <v>4838</v>
      </c>
      <c r="C1967" s="120">
        <v>45951</v>
      </c>
      <c r="D1967" s="12" t="s">
        <v>3530</v>
      </c>
      <c r="E1967" s="136"/>
      <c r="F1967" s="12" t="s">
        <v>4839</v>
      </c>
      <c r="G1967" s="137"/>
      <c r="H1967" s="67"/>
      <c r="I1967" s="71"/>
      <c r="J1967" s="72">
        <v>2935</v>
      </c>
      <c r="K1967" s="88" t="s">
        <v>17</v>
      </c>
      <c r="L1967" s="73"/>
      <c r="M1967" s="11" t="s">
        <v>3698</v>
      </c>
    </row>
    <row r="1968" spans="2:13" ht="15" customHeight="1" x14ac:dyDescent="0.25">
      <c r="B1968" s="45" t="s">
        <v>4840</v>
      </c>
      <c r="C1968" s="120">
        <v>45951</v>
      </c>
      <c r="D1968" s="12" t="s">
        <v>4841</v>
      </c>
      <c r="E1968" s="136"/>
      <c r="F1968" s="12" t="s">
        <v>4842</v>
      </c>
      <c r="G1968" s="137"/>
      <c r="H1968" s="67"/>
      <c r="I1968" s="71"/>
      <c r="J1968" s="72">
        <v>7645</v>
      </c>
      <c r="K1968" s="88" t="s">
        <v>17</v>
      </c>
      <c r="L1968" s="73"/>
      <c r="M1968" s="11" t="s">
        <v>3698</v>
      </c>
    </row>
    <row r="1969" spans="2:13" ht="15" customHeight="1" x14ac:dyDescent="0.25">
      <c r="B1969" s="45" t="s">
        <v>4843</v>
      </c>
      <c r="C1969" s="120">
        <v>45951</v>
      </c>
      <c r="D1969" t="s">
        <v>4844</v>
      </c>
      <c r="E1969" s="136"/>
      <c r="F1969" t="s">
        <v>3396</v>
      </c>
      <c r="G1969" s="137"/>
      <c r="H1969" s="67"/>
      <c r="I1969" s="71"/>
      <c r="J1969" s="72">
        <v>10200</v>
      </c>
      <c r="K1969" s="88" t="s">
        <v>3625</v>
      </c>
      <c r="L1969" s="73"/>
      <c r="M1969" s="11" t="s">
        <v>18</v>
      </c>
    </row>
    <row r="1970" spans="2:13" ht="15" customHeight="1" x14ac:dyDescent="0.25">
      <c r="B1970" s="45" t="s">
        <v>4845</v>
      </c>
      <c r="C1970" s="120">
        <v>45953</v>
      </c>
      <c r="D1970" t="s">
        <v>3802</v>
      </c>
      <c r="E1970" s="136"/>
      <c r="F1970" t="s">
        <v>4846</v>
      </c>
      <c r="G1970" s="137"/>
      <c r="H1970" s="67"/>
      <c r="I1970" s="71"/>
      <c r="J1970" s="72">
        <v>4270</v>
      </c>
      <c r="K1970" s="88" t="s">
        <v>17</v>
      </c>
      <c r="L1970" s="73"/>
      <c r="M1970" s="11" t="s">
        <v>31</v>
      </c>
    </row>
    <row r="1971" spans="2:13" ht="15" customHeight="1" x14ac:dyDescent="0.25">
      <c r="B1971" s="45" t="s">
        <v>4847</v>
      </c>
      <c r="C1971" s="120">
        <v>45953</v>
      </c>
      <c r="D1971" t="s">
        <v>4564</v>
      </c>
      <c r="E1971" s="136"/>
      <c r="F1971" s="12" t="s">
        <v>4848</v>
      </c>
      <c r="G1971" s="137"/>
      <c r="H1971" s="67"/>
      <c r="I1971" s="71"/>
      <c r="J1971" s="72">
        <v>210</v>
      </c>
      <c r="K1971" s="88" t="s">
        <v>17</v>
      </c>
      <c r="L1971" s="73"/>
      <c r="M1971" s="11" t="s">
        <v>31</v>
      </c>
    </row>
    <row r="1972" spans="2:13" ht="15" customHeight="1" x14ac:dyDescent="0.25">
      <c r="B1972" s="45" t="s">
        <v>4849</v>
      </c>
      <c r="C1972" s="120">
        <v>45962</v>
      </c>
      <c r="D1972" t="s">
        <v>4850</v>
      </c>
      <c r="E1972" s="136"/>
      <c r="F1972" t="s">
        <v>4851</v>
      </c>
      <c r="G1972" s="137"/>
      <c r="H1972" s="67"/>
      <c r="I1972" s="71"/>
      <c r="J1972" s="72">
        <v>350</v>
      </c>
      <c r="K1972" s="88" t="s">
        <v>17</v>
      </c>
      <c r="L1972" s="73"/>
      <c r="M1972" s="11" t="s">
        <v>31</v>
      </c>
    </row>
    <row r="1973" spans="2:13" ht="15" customHeight="1" x14ac:dyDescent="0.25">
      <c r="B1973" s="45" t="s">
        <v>4852</v>
      </c>
      <c r="C1973" s="120">
        <v>45951</v>
      </c>
      <c r="D1973" t="s">
        <v>463</v>
      </c>
      <c r="E1973" s="136"/>
      <c r="F1973" t="s">
        <v>4853</v>
      </c>
      <c r="G1973" s="137"/>
      <c r="H1973" s="67"/>
      <c r="I1973" s="71"/>
      <c r="J1973" s="72">
        <v>149.19999999999999</v>
      </c>
      <c r="K1973" s="88" t="s">
        <v>17</v>
      </c>
      <c r="L1973" s="73"/>
      <c r="M1973" s="11" t="s">
        <v>31</v>
      </c>
    </row>
    <row r="1974" spans="2:13" ht="15" customHeight="1" x14ac:dyDescent="0.25">
      <c r="B1974" s="45" t="s">
        <v>4854</v>
      </c>
      <c r="C1974" s="120">
        <v>45960</v>
      </c>
      <c r="D1974" s="12" t="s">
        <v>4096</v>
      </c>
      <c r="E1974" s="136"/>
      <c r="F1974" t="s">
        <v>4855</v>
      </c>
      <c r="G1974" s="137"/>
      <c r="H1974" s="67"/>
      <c r="I1974" s="71"/>
      <c r="J1974" s="72">
        <v>1125</v>
      </c>
      <c r="K1974" s="88" t="s">
        <v>17</v>
      </c>
      <c r="L1974" s="73"/>
      <c r="M1974" s="11" t="s">
        <v>3698</v>
      </c>
    </row>
    <row r="1975" spans="2:13" ht="15" customHeight="1" x14ac:dyDescent="0.25">
      <c r="B1975" s="45" t="s">
        <v>4856</v>
      </c>
      <c r="C1975" s="120">
        <v>45953</v>
      </c>
      <c r="D1975" t="s">
        <v>4345</v>
      </c>
      <c r="E1975" s="136"/>
      <c r="F1975" t="s">
        <v>4346</v>
      </c>
      <c r="G1975" s="137"/>
      <c r="H1975" s="67"/>
      <c r="I1975" s="71"/>
      <c r="J1975" s="72">
        <v>600</v>
      </c>
      <c r="K1975" s="88" t="s">
        <v>3625</v>
      </c>
      <c r="L1975" s="73"/>
      <c r="M1975" s="11" t="s">
        <v>18</v>
      </c>
    </row>
    <row r="1976" spans="2:13" ht="15" customHeight="1" x14ac:dyDescent="0.25">
      <c r="B1976" s="45" t="s">
        <v>4857</v>
      </c>
      <c r="C1976" s="120">
        <v>45953</v>
      </c>
      <c r="D1976" t="s">
        <v>4858</v>
      </c>
      <c r="E1976" s="136"/>
      <c r="F1976" s="12" t="s">
        <v>4859</v>
      </c>
      <c r="G1976" s="137"/>
      <c r="H1976" s="67"/>
      <c r="I1976" s="71"/>
      <c r="J1976" s="72">
        <v>1650</v>
      </c>
      <c r="K1976" s="88" t="s">
        <v>3625</v>
      </c>
      <c r="L1976" s="73"/>
      <c r="M1976" s="11" t="s">
        <v>18</v>
      </c>
    </row>
    <row r="1977" spans="2:13" ht="15" customHeight="1" x14ac:dyDescent="0.25">
      <c r="B1977" s="45" t="s">
        <v>4860</v>
      </c>
      <c r="C1977" s="120">
        <v>45957</v>
      </c>
      <c r="D1977" s="12" t="s">
        <v>3723</v>
      </c>
      <c r="E1977" s="136"/>
      <c r="F1977" s="12" t="s">
        <v>212</v>
      </c>
      <c r="G1977" s="137"/>
      <c r="H1977" s="67"/>
      <c r="I1977" s="71"/>
      <c r="J1977" s="72">
        <v>32400</v>
      </c>
      <c r="K1977" s="88" t="s">
        <v>17</v>
      </c>
      <c r="L1977" s="73"/>
      <c r="M1977" s="11" t="s">
        <v>3698</v>
      </c>
    </row>
    <row r="1978" spans="2:13" ht="15" customHeight="1" x14ac:dyDescent="0.25">
      <c r="B1978" s="45" t="s">
        <v>4861</v>
      </c>
      <c r="C1978" s="120">
        <v>45953</v>
      </c>
      <c r="D1978" t="s">
        <v>27</v>
      </c>
      <c r="E1978" s="136"/>
      <c r="F1978" t="s">
        <v>4862</v>
      </c>
      <c r="G1978" s="137"/>
      <c r="H1978" s="67"/>
      <c r="I1978" s="71"/>
      <c r="J1978" s="72">
        <v>1950</v>
      </c>
      <c r="K1978" s="88" t="s">
        <v>17</v>
      </c>
      <c r="L1978" s="73"/>
      <c r="M1978" s="11" t="s">
        <v>31</v>
      </c>
    </row>
    <row r="1979" spans="2:13" ht="15" customHeight="1" x14ac:dyDescent="0.25">
      <c r="B1979" s="45" t="s">
        <v>4863</v>
      </c>
      <c r="C1979" s="120">
        <v>45953</v>
      </c>
      <c r="D1979" t="s">
        <v>211</v>
      </c>
      <c r="E1979" s="136"/>
      <c r="F1979" t="s">
        <v>4864</v>
      </c>
      <c r="G1979" s="137"/>
      <c r="H1979" s="67"/>
      <c r="I1979" s="71"/>
      <c r="J1979" s="72">
        <v>160</v>
      </c>
      <c r="K1979" s="88" t="s">
        <v>3625</v>
      </c>
      <c r="L1979" s="73"/>
      <c r="M1979" s="11" t="s">
        <v>31</v>
      </c>
    </row>
    <row r="1980" spans="2:13" ht="15" customHeight="1" x14ac:dyDescent="0.25">
      <c r="B1980" s="45" t="s">
        <v>4865</v>
      </c>
      <c r="C1980" s="120">
        <v>45955</v>
      </c>
      <c r="D1980" t="s">
        <v>2731</v>
      </c>
      <c r="E1980" s="136"/>
      <c r="F1980" t="s">
        <v>2182</v>
      </c>
      <c r="G1980" s="137"/>
      <c r="H1980" s="67"/>
      <c r="I1980" s="71"/>
      <c r="J1980" s="72">
        <v>1900</v>
      </c>
      <c r="K1980" s="88" t="s">
        <v>17</v>
      </c>
      <c r="L1980" s="73"/>
      <c r="M1980" s="11" t="s">
        <v>31</v>
      </c>
    </row>
    <row r="1981" spans="2:13" ht="15" customHeight="1" x14ac:dyDescent="0.25">
      <c r="B1981" s="45" t="s">
        <v>4866</v>
      </c>
      <c r="C1981" s="120">
        <v>45953</v>
      </c>
      <c r="D1981" t="s">
        <v>4850</v>
      </c>
      <c r="E1981" s="136"/>
      <c r="F1981" t="s">
        <v>4867</v>
      </c>
      <c r="G1981" s="137"/>
      <c r="H1981" s="67"/>
      <c r="I1981" s="71"/>
      <c r="J1981" s="72">
        <v>1555</v>
      </c>
      <c r="K1981" s="88" t="s">
        <v>17</v>
      </c>
      <c r="L1981" s="73"/>
      <c r="M1981" s="11" t="s">
        <v>31</v>
      </c>
    </row>
    <row r="1982" spans="2:13" ht="15" customHeight="1" x14ac:dyDescent="0.25">
      <c r="B1982" s="45" t="s">
        <v>4868</v>
      </c>
      <c r="C1982" s="120">
        <v>45953</v>
      </c>
      <c r="D1982" t="s">
        <v>211</v>
      </c>
      <c r="E1982" s="136"/>
      <c r="F1982" s="12" t="s">
        <v>4869</v>
      </c>
      <c r="G1982" s="137"/>
      <c r="H1982" s="67"/>
      <c r="I1982" s="71"/>
      <c r="J1982" s="72">
        <v>160</v>
      </c>
      <c r="K1982" s="88" t="s">
        <v>3625</v>
      </c>
      <c r="L1982" s="73"/>
      <c r="M1982" s="11" t="s">
        <v>31</v>
      </c>
    </row>
    <row r="1983" spans="2:13" ht="15" customHeight="1" x14ac:dyDescent="0.25">
      <c r="B1983" s="45" t="s">
        <v>4870</v>
      </c>
      <c r="C1983" s="120">
        <v>45953</v>
      </c>
      <c r="D1983" s="12" t="s">
        <v>429</v>
      </c>
      <c r="E1983" s="136"/>
      <c r="F1983" s="12" t="s">
        <v>4871</v>
      </c>
      <c r="G1983" s="137"/>
      <c r="H1983" s="67"/>
      <c r="I1983" s="71"/>
      <c r="J1983" s="72">
        <v>4714.5</v>
      </c>
      <c r="K1983" s="88" t="s">
        <v>17</v>
      </c>
      <c r="L1983" s="73"/>
      <c r="M1983" s="11" t="s">
        <v>3698</v>
      </c>
    </row>
    <row r="1984" spans="2:13" ht="15" customHeight="1" x14ac:dyDescent="0.25">
      <c r="B1984" s="45" t="s">
        <v>4872</v>
      </c>
      <c r="C1984" s="120">
        <v>45961</v>
      </c>
      <c r="D1984" t="s">
        <v>211</v>
      </c>
      <c r="E1984" s="136"/>
      <c r="F1984" t="s">
        <v>4873</v>
      </c>
      <c r="G1984" s="137"/>
      <c r="H1984" s="67"/>
      <c r="I1984" s="71"/>
      <c r="J1984" s="72">
        <v>9600</v>
      </c>
      <c r="K1984" s="88" t="s">
        <v>17</v>
      </c>
      <c r="L1984" s="73"/>
      <c r="M1984" s="11" t="s">
        <v>31</v>
      </c>
    </row>
    <row r="1985" spans="2:13" ht="15" customHeight="1" x14ac:dyDescent="0.25">
      <c r="B1985" s="45" t="s">
        <v>4874</v>
      </c>
      <c r="C1985" s="120">
        <v>45954</v>
      </c>
      <c r="D1985" s="12" t="s">
        <v>115</v>
      </c>
      <c r="E1985" s="136"/>
      <c r="F1985" s="12" t="s">
        <v>4875</v>
      </c>
      <c r="G1985" s="137"/>
      <c r="H1985" s="67"/>
      <c r="I1985" s="71"/>
      <c r="J1985" s="72">
        <v>375</v>
      </c>
      <c r="K1985" s="88" t="s">
        <v>17</v>
      </c>
      <c r="L1985" s="73"/>
      <c r="M1985" s="11" t="s">
        <v>31</v>
      </c>
    </row>
    <row r="1986" spans="2:13" ht="15" customHeight="1" x14ac:dyDescent="0.25">
      <c r="B1986" s="45" t="s">
        <v>4876</v>
      </c>
      <c r="C1986" s="120">
        <v>45954</v>
      </c>
      <c r="D1986" s="12" t="s">
        <v>27</v>
      </c>
      <c r="E1986" s="136"/>
      <c r="F1986" s="12" t="s">
        <v>4877</v>
      </c>
      <c r="G1986" s="137"/>
      <c r="H1986" s="67"/>
      <c r="I1986" s="71"/>
      <c r="J1986" s="72">
        <v>475</v>
      </c>
      <c r="K1986" s="88" t="s">
        <v>17</v>
      </c>
      <c r="L1986" s="73"/>
      <c r="M1986" s="11" t="s">
        <v>31</v>
      </c>
    </row>
    <row r="1987" spans="2:13" ht="15" customHeight="1" x14ac:dyDescent="0.25">
      <c r="B1987" s="45" t="s">
        <v>4878</v>
      </c>
      <c r="C1987" s="120">
        <v>45954</v>
      </c>
      <c r="D1987" s="12" t="s">
        <v>211</v>
      </c>
      <c r="E1987" s="136"/>
      <c r="F1987" s="12" t="s">
        <v>4879</v>
      </c>
      <c r="G1987" s="137"/>
      <c r="H1987" s="67"/>
      <c r="I1987" s="71"/>
      <c r="J1987" s="72">
        <v>160</v>
      </c>
      <c r="K1987" s="88" t="s">
        <v>17</v>
      </c>
      <c r="L1987" s="73"/>
      <c r="M1987" s="11" t="s">
        <v>31</v>
      </c>
    </row>
    <row r="1988" spans="2:13" ht="15" customHeight="1" x14ac:dyDescent="0.25">
      <c r="B1988" s="45" t="s">
        <v>4880</v>
      </c>
      <c r="C1988" s="120">
        <v>45955</v>
      </c>
      <c r="D1988" s="12" t="s">
        <v>1060</v>
      </c>
      <c r="E1988" s="136"/>
      <c r="F1988" s="12" t="s">
        <v>4881</v>
      </c>
      <c r="G1988" s="137"/>
      <c r="H1988" s="67"/>
      <c r="I1988" s="71"/>
      <c r="J1988" s="72">
        <v>575</v>
      </c>
      <c r="K1988" s="88" t="s">
        <v>17</v>
      </c>
      <c r="L1988" s="73"/>
      <c r="M1988" s="11" t="s">
        <v>31</v>
      </c>
    </row>
    <row r="1989" spans="2:13" ht="15" customHeight="1" x14ac:dyDescent="0.25">
      <c r="B1989" s="45" t="s">
        <v>4882</v>
      </c>
      <c r="C1989" s="120">
        <v>45958</v>
      </c>
      <c r="D1989" s="12" t="s">
        <v>4883</v>
      </c>
      <c r="E1989" s="136"/>
      <c r="F1989" s="12" t="s">
        <v>4884</v>
      </c>
      <c r="G1989" s="137"/>
      <c r="H1989" s="67"/>
      <c r="I1989" s="71"/>
      <c r="J1989" s="72">
        <v>1556</v>
      </c>
      <c r="K1989" s="88" t="s">
        <v>3625</v>
      </c>
      <c r="L1989" s="73"/>
      <c r="M1989" s="11" t="s">
        <v>3698</v>
      </c>
    </row>
    <row r="1990" spans="2:13" ht="15" customHeight="1" x14ac:dyDescent="0.25">
      <c r="B1990" s="45" t="s">
        <v>4885</v>
      </c>
      <c r="C1990" s="120">
        <v>45974</v>
      </c>
      <c r="D1990" s="12" t="s">
        <v>3808</v>
      </c>
      <c r="E1990" s="136"/>
      <c r="F1990" s="12" t="s">
        <v>4886</v>
      </c>
      <c r="G1990" s="137"/>
      <c r="H1990" s="67"/>
      <c r="I1990" s="71"/>
      <c r="J1990" s="72">
        <v>195</v>
      </c>
      <c r="K1990" s="88" t="s">
        <v>1874</v>
      </c>
      <c r="L1990" s="73"/>
      <c r="M1990" s="11" t="s">
        <v>31</v>
      </c>
    </row>
    <row r="1991" spans="2:13" ht="15" customHeight="1" x14ac:dyDescent="0.25">
      <c r="B1991" s="45" t="s">
        <v>4887</v>
      </c>
      <c r="C1991" s="120">
        <v>45957</v>
      </c>
      <c r="D1991" s="12" t="s">
        <v>4888</v>
      </c>
      <c r="E1991" s="136"/>
      <c r="F1991" s="12" t="s">
        <v>4889</v>
      </c>
      <c r="G1991" s="137"/>
      <c r="H1991" s="67"/>
      <c r="I1991" s="71"/>
      <c r="J1991" s="72">
        <v>965</v>
      </c>
      <c r="K1991" s="88" t="s">
        <v>3625</v>
      </c>
      <c r="L1991" s="73"/>
      <c r="M1991" s="11" t="s">
        <v>18</v>
      </c>
    </row>
    <row r="1992" spans="2:13" ht="15" customHeight="1" x14ac:dyDescent="0.25">
      <c r="B1992" s="45" t="s">
        <v>4890</v>
      </c>
      <c r="C1992" s="120">
        <v>45957</v>
      </c>
      <c r="D1992" s="102" t="s">
        <v>27</v>
      </c>
      <c r="E1992" s="136"/>
      <c r="F1992" s="102" t="s">
        <v>4891</v>
      </c>
      <c r="G1992" s="137"/>
      <c r="H1992" s="67"/>
      <c r="I1992" s="71"/>
      <c r="J1992" s="72">
        <v>2450</v>
      </c>
      <c r="K1992" s="88" t="s">
        <v>17</v>
      </c>
      <c r="L1992" s="73"/>
      <c r="M1992" s="11" t="s">
        <v>31</v>
      </c>
    </row>
    <row r="1993" spans="2:13" ht="15" customHeight="1" x14ac:dyDescent="0.25">
      <c r="B1993" s="45" t="s">
        <v>4892</v>
      </c>
      <c r="C1993" s="120">
        <v>45957</v>
      </c>
      <c r="D1993" s="12" t="s">
        <v>4893</v>
      </c>
      <c r="E1993" s="136"/>
      <c r="F1993" s="12" t="s">
        <v>4894</v>
      </c>
      <c r="G1993" s="137"/>
      <c r="H1993" s="67"/>
      <c r="I1993" s="71"/>
      <c r="J1993" s="72">
        <v>374.7</v>
      </c>
      <c r="K1993" s="88" t="s">
        <v>3625</v>
      </c>
      <c r="L1993" s="73"/>
      <c r="M1993" s="11" t="s">
        <v>3698</v>
      </c>
    </row>
    <row r="1994" spans="2:13" ht="15" customHeight="1" x14ac:dyDescent="0.25">
      <c r="B1994" s="45" t="s">
        <v>4895</v>
      </c>
      <c r="C1994" s="120">
        <v>45958</v>
      </c>
      <c r="D1994" s="10" t="s">
        <v>211</v>
      </c>
      <c r="E1994" s="136"/>
      <c r="F1994" s="10" t="s">
        <v>4896</v>
      </c>
      <c r="G1994" s="137"/>
      <c r="H1994" s="67"/>
      <c r="I1994" s="71"/>
      <c r="J1994" s="72">
        <v>300</v>
      </c>
      <c r="K1994" s="88" t="s">
        <v>17</v>
      </c>
      <c r="L1994" s="73"/>
      <c r="M1994" s="11" t="s">
        <v>31</v>
      </c>
    </row>
    <row r="1995" spans="2:13" ht="15" customHeight="1" x14ac:dyDescent="0.25">
      <c r="B1995" s="45" t="s">
        <v>4897</v>
      </c>
      <c r="C1995" s="120">
        <v>45958</v>
      </c>
      <c r="D1995" s="12" t="s">
        <v>1060</v>
      </c>
      <c r="E1995" s="136"/>
      <c r="F1995" s="12" t="s">
        <v>4186</v>
      </c>
      <c r="G1995" s="137"/>
      <c r="H1995" s="67"/>
      <c r="I1995" s="71"/>
      <c r="J1995" s="72">
        <v>175.5</v>
      </c>
      <c r="K1995" s="88" t="s">
        <v>17</v>
      </c>
      <c r="L1995" s="73"/>
      <c r="M1995" s="11" t="s">
        <v>31</v>
      </c>
    </row>
    <row r="1996" spans="2:13" ht="15" customHeight="1" x14ac:dyDescent="0.25">
      <c r="B1996" s="45" t="s">
        <v>4898</v>
      </c>
      <c r="C1996" s="120">
        <v>45958</v>
      </c>
      <c r="D1996" s="12" t="s">
        <v>27</v>
      </c>
      <c r="E1996" s="136"/>
      <c r="F1996" s="12" t="s">
        <v>4899</v>
      </c>
      <c r="G1996" s="137"/>
      <c r="H1996" s="67"/>
      <c r="I1996" s="71"/>
      <c r="J1996" s="72">
        <v>3285</v>
      </c>
      <c r="K1996" s="88" t="s">
        <v>17</v>
      </c>
      <c r="L1996" s="73"/>
      <c r="M1996" s="11" t="s">
        <v>31</v>
      </c>
    </row>
    <row r="1997" spans="2:13" ht="15" customHeight="1" x14ac:dyDescent="0.25">
      <c r="B1997" s="45" t="s">
        <v>4900</v>
      </c>
      <c r="C1997" s="120">
        <v>45961</v>
      </c>
      <c r="D1997" s="102" t="s">
        <v>4901</v>
      </c>
      <c r="E1997" s="136"/>
      <c r="F1997" s="102" t="s">
        <v>4902</v>
      </c>
      <c r="G1997" s="137"/>
      <c r="H1997" s="67"/>
      <c r="I1997" s="71"/>
      <c r="J1997" s="72">
        <v>1375</v>
      </c>
      <c r="K1997" s="88" t="s">
        <v>3625</v>
      </c>
      <c r="L1997" s="73"/>
      <c r="M1997" s="11" t="s">
        <v>18</v>
      </c>
    </row>
    <row r="1998" spans="2:13" ht="15" customHeight="1" x14ac:dyDescent="0.25">
      <c r="B1998" s="45" t="s">
        <v>4903</v>
      </c>
      <c r="C1998" s="120">
        <v>45961</v>
      </c>
      <c r="D1998" s="12" t="s">
        <v>1043</v>
      </c>
      <c r="E1998" s="136"/>
      <c r="F1998" s="12" t="s">
        <v>4904</v>
      </c>
      <c r="G1998" s="137"/>
      <c r="H1998" s="67"/>
      <c r="I1998" s="71"/>
      <c r="J1998" s="72">
        <v>3541.85</v>
      </c>
      <c r="K1998" s="88" t="s">
        <v>17</v>
      </c>
      <c r="L1998" s="73"/>
      <c r="M1998" s="11" t="s">
        <v>3698</v>
      </c>
    </row>
    <row r="1999" spans="2:13" ht="15" customHeight="1" x14ac:dyDescent="0.25">
      <c r="B1999" s="45" t="s">
        <v>4905</v>
      </c>
      <c r="C1999" s="120">
        <v>45959</v>
      </c>
      <c r="D1999" s="12" t="s">
        <v>4906</v>
      </c>
      <c r="E1999" s="136"/>
      <c r="F1999" s="12" t="s">
        <v>2674</v>
      </c>
      <c r="G1999" s="137"/>
      <c r="H1999" s="67"/>
      <c r="I1999" s="71"/>
      <c r="J1999" s="72">
        <v>1000</v>
      </c>
      <c r="K1999" s="88" t="s">
        <v>17</v>
      </c>
      <c r="L1999" s="73"/>
      <c r="M1999" s="11" t="s">
        <v>3698</v>
      </c>
    </row>
    <row r="2000" spans="2:13" ht="15" customHeight="1" x14ac:dyDescent="0.25">
      <c r="B2000" s="45" t="s">
        <v>4907</v>
      </c>
      <c r="C2000" s="120">
        <v>45959</v>
      </c>
      <c r="D2000" t="s">
        <v>4908</v>
      </c>
      <c r="E2000" s="136"/>
      <c r="F2000" t="s">
        <v>4909</v>
      </c>
      <c r="G2000" s="137"/>
      <c r="H2000" s="67"/>
      <c r="I2000" s="71"/>
      <c r="J2000" s="72">
        <v>375</v>
      </c>
      <c r="K2000" s="88" t="s">
        <v>3625</v>
      </c>
      <c r="L2000" s="73"/>
      <c r="M2000" s="11" t="s">
        <v>18</v>
      </c>
    </row>
    <row r="2001" spans="2:13" ht="15" customHeight="1" x14ac:dyDescent="0.25">
      <c r="B2001" s="45" t="s">
        <v>4910</v>
      </c>
      <c r="C2001" s="120">
        <v>45973</v>
      </c>
      <c r="D2001" s="12" t="s">
        <v>4911</v>
      </c>
      <c r="E2001" s="136"/>
      <c r="F2001" s="12" t="s">
        <v>2674</v>
      </c>
      <c r="G2001" s="137"/>
      <c r="H2001" s="67"/>
      <c r="I2001" s="71"/>
      <c r="J2001" s="72">
        <v>507.5</v>
      </c>
      <c r="K2001" s="88" t="s">
        <v>17</v>
      </c>
      <c r="L2001" s="73"/>
      <c r="M2001" s="11" t="s">
        <v>3698</v>
      </c>
    </row>
    <row r="2002" spans="2:13" ht="15" customHeight="1" x14ac:dyDescent="0.25">
      <c r="B2002" s="45" t="s">
        <v>4912</v>
      </c>
      <c r="C2002" s="120">
        <v>45960</v>
      </c>
      <c r="D2002" t="s">
        <v>3802</v>
      </c>
      <c r="E2002" s="136"/>
      <c r="F2002" t="s">
        <v>4913</v>
      </c>
      <c r="G2002" s="137"/>
      <c r="H2002" s="67"/>
      <c r="I2002" s="71"/>
      <c r="J2002" s="72">
        <v>395</v>
      </c>
      <c r="K2002" s="88" t="s">
        <v>17</v>
      </c>
      <c r="L2002" s="73"/>
      <c r="M2002" s="11" t="s">
        <v>31</v>
      </c>
    </row>
    <row r="2003" spans="2:13" ht="15" customHeight="1" x14ac:dyDescent="0.25">
      <c r="B2003" s="45" t="s">
        <v>4914</v>
      </c>
      <c r="C2003" s="120">
        <v>45960</v>
      </c>
      <c r="D2003" s="12" t="s">
        <v>4915</v>
      </c>
      <c r="E2003" s="136"/>
      <c r="F2003" s="12" t="s">
        <v>4916</v>
      </c>
      <c r="G2003" s="137"/>
      <c r="H2003" s="67"/>
      <c r="I2003" s="71"/>
      <c r="J2003" s="72">
        <v>1522.5</v>
      </c>
      <c r="K2003" s="88" t="s">
        <v>17</v>
      </c>
      <c r="L2003" s="73"/>
      <c r="M2003" s="11" t="s">
        <v>3698</v>
      </c>
    </row>
    <row r="2004" spans="2:13" ht="15" customHeight="1" x14ac:dyDescent="0.25">
      <c r="B2004" s="45" t="s">
        <v>4917</v>
      </c>
      <c r="C2004" s="120">
        <v>45961</v>
      </c>
      <c r="D2004" s="12" t="s">
        <v>3634</v>
      </c>
      <c r="E2004" s="136"/>
      <c r="F2004" s="12" t="s">
        <v>1078</v>
      </c>
      <c r="G2004" s="137"/>
      <c r="H2004" s="67"/>
      <c r="I2004" s="71"/>
      <c r="J2004" s="72">
        <v>905</v>
      </c>
      <c r="K2004" s="88" t="s">
        <v>17</v>
      </c>
      <c r="L2004" s="73"/>
      <c r="M2004" s="11" t="s">
        <v>3698</v>
      </c>
    </row>
    <row r="2005" spans="2:13" ht="15" customHeight="1" x14ac:dyDescent="0.25">
      <c r="B2005" s="45" t="s">
        <v>4918</v>
      </c>
      <c r="C2005" s="120">
        <v>45960</v>
      </c>
      <c r="D2005" s="12" t="s">
        <v>4919</v>
      </c>
      <c r="E2005" s="136"/>
      <c r="F2005" s="12" t="s">
        <v>2674</v>
      </c>
      <c r="G2005" s="137"/>
      <c r="H2005" s="67"/>
      <c r="I2005" s="71"/>
      <c r="J2005" s="72">
        <v>3235</v>
      </c>
      <c r="K2005" s="88" t="s">
        <v>17</v>
      </c>
      <c r="L2005" s="73"/>
      <c r="M2005" s="11" t="s">
        <v>3698</v>
      </c>
    </row>
    <row r="2006" spans="2:13" ht="15" customHeight="1" x14ac:dyDescent="0.25">
      <c r="B2006" s="45" t="s">
        <v>4920</v>
      </c>
      <c r="C2006" s="120">
        <v>45960</v>
      </c>
      <c r="D2006" s="12" t="s">
        <v>4921</v>
      </c>
      <c r="E2006" s="136"/>
      <c r="F2006" s="12" t="s">
        <v>4922</v>
      </c>
      <c r="G2006" s="137"/>
      <c r="H2006" s="67"/>
      <c r="I2006" s="71"/>
      <c r="J2006" s="72">
        <v>18210</v>
      </c>
      <c r="K2006" s="88" t="s">
        <v>3625</v>
      </c>
      <c r="L2006" s="73"/>
      <c r="M2006" s="11" t="s">
        <v>3698</v>
      </c>
    </row>
    <row r="2007" spans="2:13" ht="15" customHeight="1" x14ac:dyDescent="0.25">
      <c r="B2007" s="45" t="s">
        <v>4923</v>
      </c>
      <c r="C2007" s="120">
        <v>45961</v>
      </c>
      <c r="D2007" s="12" t="s">
        <v>27</v>
      </c>
      <c r="E2007" s="136"/>
      <c r="F2007" s="12" t="s">
        <v>4924</v>
      </c>
      <c r="G2007" s="137"/>
      <c r="H2007" s="67"/>
      <c r="I2007" s="71"/>
      <c r="J2007" s="72">
        <v>4250</v>
      </c>
      <c r="K2007" s="88" t="s">
        <v>17</v>
      </c>
      <c r="L2007" s="73"/>
      <c r="M2007" s="11" t="s">
        <v>3698</v>
      </c>
    </row>
    <row r="2008" spans="2:13" ht="15" customHeight="1" x14ac:dyDescent="0.25">
      <c r="B2008" s="45" t="s">
        <v>4925</v>
      </c>
      <c r="C2008" s="120">
        <v>45965</v>
      </c>
      <c r="D2008" s="12" t="s">
        <v>4926</v>
      </c>
      <c r="E2008" s="136"/>
      <c r="F2008" s="12" t="s">
        <v>2674</v>
      </c>
      <c r="G2008" s="137"/>
      <c r="H2008" s="67"/>
      <c r="I2008" s="71"/>
      <c r="J2008" s="72">
        <v>3629.95</v>
      </c>
      <c r="K2008" s="88" t="s">
        <v>3625</v>
      </c>
      <c r="L2008" s="73"/>
      <c r="M2008" s="11" t="s">
        <v>3698</v>
      </c>
    </row>
    <row r="2009" spans="2:13" ht="15" customHeight="1" x14ac:dyDescent="0.25">
      <c r="B2009" s="45" t="s">
        <v>4927</v>
      </c>
      <c r="C2009" s="120">
        <v>45962</v>
      </c>
      <c r="D2009" s="12" t="s">
        <v>211</v>
      </c>
      <c r="E2009" s="136"/>
      <c r="F2009" s="12" t="s">
        <v>4928</v>
      </c>
      <c r="G2009" s="137"/>
      <c r="H2009" s="67"/>
      <c r="I2009" s="71"/>
      <c r="J2009" s="72">
        <v>160</v>
      </c>
      <c r="K2009" s="88" t="s">
        <v>17</v>
      </c>
      <c r="L2009" s="73"/>
      <c r="M2009" s="11" t="s">
        <v>31</v>
      </c>
    </row>
    <row r="2010" spans="2:13" ht="15" customHeight="1" x14ac:dyDescent="0.25">
      <c r="B2010" s="45" t="s">
        <v>4929</v>
      </c>
      <c r="C2010" s="120">
        <v>45962</v>
      </c>
      <c r="D2010" t="s">
        <v>4930</v>
      </c>
      <c r="E2010" s="136"/>
      <c r="F2010" t="s">
        <v>4931</v>
      </c>
      <c r="G2010" s="137"/>
      <c r="H2010" s="67"/>
      <c r="I2010" s="71"/>
      <c r="J2010" s="72">
        <v>82500</v>
      </c>
      <c r="K2010" s="88" t="s">
        <v>3625</v>
      </c>
      <c r="L2010" s="73"/>
      <c r="M2010" s="11" t="s">
        <v>18</v>
      </c>
    </row>
    <row r="2011" spans="2:13" ht="15" customHeight="1" x14ac:dyDescent="0.25">
      <c r="B2011" s="45" t="s">
        <v>4932</v>
      </c>
      <c r="C2011" s="120">
        <v>45962</v>
      </c>
      <c r="D2011" t="s">
        <v>4933</v>
      </c>
      <c r="E2011" s="136"/>
      <c r="F2011" t="s">
        <v>4934</v>
      </c>
      <c r="G2011" s="137"/>
      <c r="H2011" s="67"/>
      <c r="I2011" s="71"/>
      <c r="J2011" s="72">
        <v>1955</v>
      </c>
      <c r="K2011" s="88" t="s">
        <v>3625</v>
      </c>
      <c r="L2011" s="73"/>
      <c r="M2011" s="11" t="s">
        <v>18</v>
      </c>
    </row>
    <row r="2012" spans="2:13" ht="14.25" customHeight="1" x14ac:dyDescent="0.25">
      <c r="B2012" s="45" t="s">
        <v>4935</v>
      </c>
      <c r="C2012" s="120">
        <v>45964</v>
      </c>
      <c r="D2012" s="12" t="s">
        <v>211</v>
      </c>
      <c r="E2012" s="136"/>
      <c r="F2012" s="12" t="s">
        <v>4936</v>
      </c>
      <c r="G2012" s="137"/>
      <c r="H2012" s="67"/>
      <c r="I2012" s="71"/>
      <c r="J2012" s="72">
        <v>160</v>
      </c>
      <c r="K2012" s="88" t="s">
        <v>17</v>
      </c>
      <c r="L2012" s="73"/>
      <c r="M2012" s="11" t="s">
        <v>31</v>
      </c>
    </row>
    <row r="2013" spans="2:13" ht="15" customHeight="1" x14ac:dyDescent="0.25">
      <c r="B2013" s="45" t="s">
        <v>4937</v>
      </c>
      <c r="C2013" s="120">
        <v>45964</v>
      </c>
      <c r="D2013" t="s">
        <v>4938</v>
      </c>
      <c r="E2013" s="136"/>
      <c r="F2013" t="s">
        <v>4939</v>
      </c>
      <c r="G2013" s="137"/>
      <c r="H2013" s="67"/>
      <c r="I2013" s="71"/>
      <c r="J2013" s="72">
        <v>675</v>
      </c>
      <c r="K2013" s="88" t="s">
        <v>3625</v>
      </c>
      <c r="L2013" s="73"/>
      <c r="M2013" s="11" t="s">
        <v>18</v>
      </c>
    </row>
    <row r="2014" spans="2:13" ht="15" customHeight="1" x14ac:dyDescent="0.25">
      <c r="B2014" s="45" t="s">
        <v>4940</v>
      </c>
      <c r="C2014" s="120">
        <v>45964</v>
      </c>
      <c r="D2014" s="12" t="s">
        <v>4941</v>
      </c>
      <c r="E2014" s="136"/>
      <c r="F2014" s="12" t="s">
        <v>4942</v>
      </c>
      <c r="G2014" s="137"/>
      <c r="H2014" s="67"/>
      <c r="I2014" s="71"/>
      <c r="J2014" s="72">
        <v>3512.5</v>
      </c>
      <c r="K2014" s="88" t="s">
        <v>1874</v>
      </c>
      <c r="L2014" s="73"/>
      <c r="M2014" s="11" t="s">
        <v>3698</v>
      </c>
    </row>
    <row r="2015" spans="2:13" ht="15" customHeight="1" x14ac:dyDescent="0.25">
      <c r="B2015" s="45" t="s">
        <v>4943</v>
      </c>
      <c r="C2015" s="120">
        <v>45964</v>
      </c>
      <c r="D2015" s="102" t="s">
        <v>4944</v>
      </c>
      <c r="E2015" s="136"/>
      <c r="F2015" s="102" t="s">
        <v>393</v>
      </c>
      <c r="G2015" s="137"/>
      <c r="H2015" s="67"/>
      <c r="I2015" s="71"/>
      <c r="J2015" s="72">
        <v>2100</v>
      </c>
      <c r="K2015" s="88" t="s">
        <v>17</v>
      </c>
      <c r="L2015" s="73"/>
      <c r="M2015" s="11" t="s">
        <v>3698</v>
      </c>
    </row>
    <row r="2016" spans="2:13" ht="15" customHeight="1" x14ac:dyDescent="0.25">
      <c r="B2016" s="45" t="s">
        <v>4945</v>
      </c>
      <c r="C2016" s="120">
        <v>45965</v>
      </c>
      <c r="D2016" s="12" t="s">
        <v>1060</v>
      </c>
      <c r="E2016" s="136"/>
      <c r="F2016" s="12" t="s">
        <v>4946</v>
      </c>
      <c r="G2016" s="137"/>
      <c r="H2016" s="67"/>
      <c r="I2016" s="71"/>
      <c r="J2016" s="72">
        <v>17566</v>
      </c>
      <c r="K2016" s="88" t="s">
        <v>17</v>
      </c>
      <c r="L2016" s="73"/>
      <c r="M2016" s="11" t="s">
        <v>31</v>
      </c>
    </row>
    <row r="2017" spans="2:13" ht="15" customHeight="1" x14ac:dyDescent="0.25">
      <c r="B2017" s="45" t="s">
        <v>4947</v>
      </c>
      <c r="C2017" s="120">
        <v>45967</v>
      </c>
      <c r="D2017" t="s">
        <v>211</v>
      </c>
      <c r="E2017" s="136"/>
      <c r="F2017" t="s">
        <v>4948</v>
      </c>
      <c r="G2017" s="137"/>
      <c r="H2017" s="67"/>
      <c r="I2017" s="71"/>
      <c r="J2017" s="72">
        <v>1700</v>
      </c>
      <c r="K2017" s="88" t="s">
        <v>17</v>
      </c>
      <c r="L2017" s="73"/>
      <c r="M2017" s="11" t="s">
        <v>31</v>
      </c>
    </row>
    <row r="2018" spans="2:13" ht="15" customHeight="1" x14ac:dyDescent="0.25">
      <c r="B2018" s="45" t="s">
        <v>4949</v>
      </c>
      <c r="C2018" s="120">
        <v>45966</v>
      </c>
      <c r="D2018" t="s">
        <v>1986</v>
      </c>
      <c r="E2018" s="136"/>
      <c r="F2018" t="s">
        <v>22</v>
      </c>
      <c r="G2018" s="137"/>
      <c r="H2018" s="67"/>
      <c r="I2018" s="71"/>
      <c r="J2018" s="72">
        <v>450</v>
      </c>
      <c r="K2018" s="88" t="s">
        <v>17</v>
      </c>
      <c r="L2018" s="73"/>
      <c r="M2018" s="11" t="s">
        <v>31</v>
      </c>
    </row>
    <row r="2019" spans="2:13" x14ac:dyDescent="0.25">
      <c r="B2019" s="45" t="s">
        <v>4950</v>
      </c>
      <c r="C2019" s="120">
        <v>45966</v>
      </c>
      <c r="D2019" t="s">
        <v>211</v>
      </c>
      <c r="E2019" s="136"/>
      <c r="F2019" t="s">
        <v>4391</v>
      </c>
      <c r="G2019" s="137"/>
      <c r="H2019" s="67"/>
      <c r="I2019" s="71"/>
      <c r="J2019" s="72">
        <v>640</v>
      </c>
      <c r="K2019" s="88" t="s">
        <v>17</v>
      </c>
      <c r="L2019" s="73"/>
      <c r="M2019" s="11" t="s">
        <v>31</v>
      </c>
    </row>
    <row r="2020" spans="2:13" x14ac:dyDescent="0.25">
      <c r="B2020" s="45" t="s">
        <v>4951</v>
      </c>
      <c r="C2020" s="120">
        <v>45966</v>
      </c>
      <c r="D2020" s="12" t="s">
        <v>4952</v>
      </c>
      <c r="E2020" s="136"/>
      <c r="F2020" s="12" t="s">
        <v>4953</v>
      </c>
      <c r="G2020" s="137"/>
      <c r="H2020" s="67"/>
      <c r="I2020" s="71"/>
      <c r="J2020" s="72">
        <v>425</v>
      </c>
      <c r="K2020" s="88" t="s">
        <v>4954</v>
      </c>
      <c r="L2020" s="73"/>
      <c r="M2020" s="11" t="s">
        <v>18</v>
      </c>
    </row>
    <row r="2021" spans="2:13" x14ac:dyDescent="0.25">
      <c r="B2021" s="45" t="s">
        <v>4955</v>
      </c>
      <c r="C2021" s="120">
        <v>45966</v>
      </c>
      <c r="D2021" s="10" t="s">
        <v>4956</v>
      </c>
      <c r="E2021" s="136"/>
      <c r="F2021" t="s">
        <v>1247</v>
      </c>
      <c r="G2021" s="137"/>
      <c r="H2021" s="67"/>
      <c r="I2021" s="71"/>
      <c r="J2021" s="72">
        <v>125</v>
      </c>
      <c r="K2021" s="88" t="s">
        <v>1874</v>
      </c>
      <c r="L2021" s="73"/>
      <c r="M2021" s="11" t="s">
        <v>31</v>
      </c>
    </row>
    <row r="2022" spans="2:13" x14ac:dyDescent="0.25">
      <c r="B2022" s="45" t="s">
        <v>4957</v>
      </c>
      <c r="C2022" s="120">
        <v>45974</v>
      </c>
      <c r="D2022" s="12" t="s">
        <v>4958</v>
      </c>
      <c r="E2022" s="136"/>
      <c r="F2022" t="s">
        <v>4613</v>
      </c>
      <c r="G2022" s="137"/>
      <c r="H2022" s="67"/>
      <c r="I2022" s="71"/>
      <c r="J2022" s="72">
        <v>1972.5</v>
      </c>
      <c r="K2022" s="88" t="s">
        <v>17</v>
      </c>
      <c r="L2022" s="73"/>
      <c r="M2022" s="11" t="s">
        <v>31</v>
      </c>
    </row>
    <row r="2023" spans="2:13" x14ac:dyDescent="0.25">
      <c r="B2023" s="45" t="s">
        <v>4959</v>
      </c>
      <c r="C2023" s="120">
        <v>45966</v>
      </c>
      <c r="D2023" t="s">
        <v>426</v>
      </c>
      <c r="E2023" s="136"/>
      <c r="F2023" t="s">
        <v>4960</v>
      </c>
      <c r="G2023" s="137"/>
      <c r="H2023" s="67"/>
      <c r="I2023" s="71"/>
      <c r="J2023" s="72">
        <v>2160</v>
      </c>
      <c r="K2023" s="88" t="s">
        <v>17</v>
      </c>
      <c r="L2023" s="73"/>
      <c r="M2023" s="11" t="s">
        <v>31</v>
      </c>
    </row>
    <row r="2024" spans="2:13" x14ac:dyDescent="0.25">
      <c r="B2024" s="45" t="s">
        <v>4961</v>
      </c>
      <c r="C2024" s="120">
        <v>45967</v>
      </c>
      <c r="D2024" t="s">
        <v>4962</v>
      </c>
      <c r="E2024" s="136"/>
      <c r="F2024" t="s">
        <v>259</v>
      </c>
      <c r="G2024" s="137"/>
      <c r="H2024" s="67"/>
      <c r="I2024" s="71"/>
      <c r="J2024" s="72">
        <v>255</v>
      </c>
      <c r="K2024" s="88" t="s">
        <v>17</v>
      </c>
      <c r="L2024" s="73"/>
      <c r="M2024" s="11" t="s">
        <v>31</v>
      </c>
    </row>
    <row r="2025" spans="2:13" x14ac:dyDescent="0.25">
      <c r="B2025" s="45" t="s">
        <v>4963</v>
      </c>
      <c r="C2025" s="120">
        <v>45967</v>
      </c>
      <c r="D2025" t="s">
        <v>27</v>
      </c>
      <c r="E2025" s="136"/>
      <c r="F2025" t="s">
        <v>28</v>
      </c>
      <c r="G2025" s="137"/>
      <c r="H2025" s="67"/>
      <c r="I2025" s="71"/>
      <c r="J2025" s="72">
        <v>200</v>
      </c>
      <c r="K2025" s="88" t="s">
        <v>17</v>
      </c>
      <c r="L2025" s="73"/>
      <c r="M2025" s="11" t="s">
        <v>31</v>
      </c>
    </row>
    <row r="2026" spans="2:13" x14ac:dyDescent="0.25">
      <c r="B2026" s="45" t="s">
        <v>4964</v>
      </c>
      <c r="C2026" s="120">
        <v>45967</v>
      </c>
      <c r="D2026" s="12" t="s">
        <v>4639</v>
      </c>
      <c r="E2026" s="136"/>
      <c r="F2026" s="12" t="s">
        <v>679</v>
      </c>
      <c r="G2026" s="137"/>
      <c r="H2026" s="67"/>
      <c r="I2026" s="71"/>
      <c r="J2026" s="72">
        <v>3150</v>
      </c>
      <c r="K2026" s="88" t="s">
        <v>4954</v>
      </c>
      <c r="L2026" s="73"/>
      <c r="M2026" s="11" t="s">
        <v>18</v>
      </c>
    </row>
    <row r="2027" spans="2:13" x14ac:dyDescent="0.25">
      <c r="B2027" s="45" t="s">
        <v>4965</v>
      </c>
      <c r="C2027" s="120">
        <v>45967</v>
      </c>
      <c r="D2027" s="12" t="s">
        <v>241</v>
      </c>
      <c r="E2027" s="136"/>
      <c r="F2027" s="12" t="s">
        <v>2977</v>
      </c>
      <c r="G2027" s="137"/>
      <c r="H2027" s="67"/>
      <c r="I2027" s="71"/>
      <c r="J2027" s="72">
        <v>1800</v>
      </c>
      <c r="K2027" s="88" t="s">
        <v>17</v>
      </c>
      <c r="L2027" s="73"/>
      <c r="M2027" s="11" t="s">
        <v>31</v>
      </c>
    </row>
    <row r="2028" spans="2:13" x14ac:dyDescent="0.25">
      <c r="B2028" s="45" t="s">
        <v>4966</v>
      </c>
      <c r="C2028" s="120">
        <v>45967</v>
      </c>
      <c r="D2028" s="12" t="s">
        <v>4481</v>
      </c>
      <c r="E2028" s="136"/>
      <c r="F2028" s="12" t="s">
        <v>4967</v>
      </c>
      <c r="G2028" s="137"/>
      <c r="H2028" s="67"/>
      <c r="I2028" s="71"/>
      <c r="J2028" s="72">
        <v>695</v>
      </c>
      <c r="K2028" s="88" t="s">
        <v>17</v>
      </c>
      <c r="L2028" s="73"/>
      <c r="M2028" s="11" t="s">
        <v>3698</v>
      </c>
    </row>
    <row r="2029" spans="2:13" ht="15" customHeight="1" x14ac:dyDescent="0.25">
      <c r="B2029" s="45" t="s">
        <v>4968</v>
      </c>
      <c r="C2029" s="120">
        <v>45967</v>
      </c>
      <c r="D2029" s="12" t="s">
        <v>211</v>
      </c>
      <c r="E2029" s="136"/>
      <c r="F2029" s="12" t="s">
        <v>4969</v>
      </c>
      <c r="G2029" s="137"/>
      <c r="H2029" s="67"/>
      <c r="I2029" s="71"/>
      <c r="J2029" s="72">
        <v>160</v>
      </c>
      <c r="K2029" s="88" t="s">
        <v>17</v>
      </c>
      <c r="L2029" s="73"/>
      <c r="M2029" s="11" t="s">
        <v>31</v>
      </c>
    </row>
    <row r="2030" spans="2:13" ht="15" customHeight="1" x14ac:dyDescent="0.25">
      <c r="B2030" s="45" t="s">
        <v>4970</v>
      </c>
      <c r="C2030" s="120">
        <v>45967</v>
      </c>
      <c r="D2030" t="s">
        <v>211</v>
      </c>
      <c r="E2030" s="136"/>
      <c r="F2030" t="s">
        <v>679</v>
      </c>
      <c r="G2030" s="137"/>
      <c r="H2030" s="67"/>
      <c r="I2030" s="71"/>
      <c r="J2030" s="72">
        <v>22500</v>
      </c>
      <c r="K2030" s="88" t="s">
        <v>17</v>
      </c>
      <c r="L2030" s="73"/>
      <c r="M2030" s="11" t="s">
        <v>31</v>
      </c>
    </row>
    <row r="2031" spans="2:13" ht="15" customHeight="1" x14ac:dyDescent="0.25">
      <c r="B2031" s="45" t="s">
        <v>4971</v>
      </c>
      <c r="C2031" s="120">
        <v>45967</v>
      </c>
      <c r="D2031" t="s">
        <v>211</v>
      </c>
      <c r="E2031" s="136"/>
      <c r="F2031" t="s">
        <v>1072</v>
      </c>
      <c r="G2031" s="137"/>
      <c r="H2031" s="67"/>
      <c r="I2031" s="71"/>
      <c r="J2031" s="72">
        <v>1980</v>
      </c>
      <c r="K2031" s="88" t="s">
        <v>17</v>
      </c>
      <c r="L2031" s="73"/>
      <c r="M2031" s="11" t="s">
        <v>31</v>
      </c>
    </row>
    <row r="2032" spans="2:13" ht="15" customHeight="1" x14ac:dyDescent="0.25">
      <c r="B2032" s="45" t="s">
        <v>4972</v>
      </c>
      <c r="C2032" s="120">
        <v>45967</v>
      </c>
      <c r="D2032" t="s">
        <v>211</v>
      </c>
      <c r="E2032" s="136"/>
      <c r="F2032" t="s">
        <v>4973</v>
      </c>
      <c r="G2032" s="137"/>
      <c r="H2032" s="67"/>
      <c r="I2032" s="71"/>
      <c r="J2032" s="72">
        <v>735</v>
      </c>
      <c r="K2032" s="88" t="s">
        <v>17</v>
      </c>
      <c r="L2032" s="73"/>
      <c r="M2032" s="11" t="s">
        <v>18</v>
      </c>
    </row>
    <row r="2033" spans="2:13" ht="15" customHeight="1" x14ac:dyDescent="0.25">
      <c r="B2033" s="45" t="s">
        <v>4974</v>
      </c>
      <c r="C2033" s="120">
        <v>45968</v>
      </c>
      <c r="D2033" s="12" t="s">
        <v>4300</v>
      </c>
      <c r="E2033" s="136"/>
      <c r="F2033" s="12" t="s">
        <v>4975</v>
      </c>
      <c r="G2033" s="137"/>
      <c r="H2033" s="67"/>
      <c r="I2033" s="71"/>
      <c r="J2033" s="72">
        <v>75.02</v>
      </c>
      <c r="K2033" s="88" t="s">
        <v>17</v>
      </c>
      <c r="L2033" s="73"/>
      <c r="M2033" s="11" t="s">
        <v>3698</v>
      </c>
    </row>
    <row r="2034" spans="2:13" ht="15" customHeight="1" x14ac:dyDescent="0.25">
      <c r="B2034" s="45" t="s">
        <v>4976</v>
      </c>
      <c r="C2034" s="120">
        <v>45971</v>
      </c>
      <c r="D2034" s="102" t="s">
        <v>4977</v>
      </c>
      <c r="E2034" s="136"/>
      <c r="F2034" s="12" t="s">
        <v>4978</v>
      </c>
      <c r="G2034" s="137"/>
      <c r="H2034" s="67"/>
      <c r="I2034" s="71"/>
      <c r="J2034" s="72">
        <v>7500</v>
      </c>
      <c r="K2034" s="88" t="s">
        <v>4954</v>
      </c>
      <c r="L2034" s="73"/>
      <c r="M2034" s="11" t="s">
        <v>3698</v>
      </c>
    </row>
    <row r="2035" spans="2:13" ht="15" customHeight="1" x14ac:dyDescent="0.25">
      <c r="B2035" s="45" t="s">
        <v>4979</v>
      </c>
      <c r="C2035" s="120">
        <v>45968</v>
      </c>
      <c r="D2035" s="12" t="s">
        <v>211</v>
      </c>
      <c r="E2035" s="136"/>
      <c r="F2035" s="12" t="s">
        <v>4980</v>
      </c>
      <c r="G2035" s="137"/>
      <c r="H2035" s="67"/>
      <c r="I2035" s="71"/>
      <c r="J2035" s="72">
        <v>220</v>
      </c>
      <c r="K2035" s="88" t="s">
        <v>17</v>
      </c>
      <c r="L2035" s="73"/>
      <c r="M2035" s="11" t="s">
        <v>31</v>
      </c>
    </row>
    <row r="2036" spans="2:13" ht="15" customHeight="1" x14ac:dyDescent="0.25">
      <c r="B2036" s="45" t="s">
        <v>4981</v>
      </c>
      <c r="C2036" s="120">
        <v>45969</v>
      </c>
      <c r="D2036" s="12" t="s">
        <v>4982</v>
      </c>
      <c r="E2036" s="136"/>
      <c r="F2036" s="12" t="s">
        <v>4983</v>
      </c>
      <c r="G2036" s="137"/>
      <c r="H2036" s="67"/>
      <c r="I2036" s="71"/>
      <c r="J2036" s="72">
        <v>3875</v>
      </c>
      <c r="K2036" s="88" t="s">
        <v>1874</v>
      </c>
      <c r="L2036" s="73"/>
      <c r="M2036" s="11" t="s">
        <v>3698</v>
      </c>
    </row>
    <row r="2037" spans="2:13" ht="15" customHeight="1" x14ac:dyDescent="0.25">
      <c r="B2037" s="45" t="s">
        <v>4984</v>
      </c>
      <c r="C2037" s="120">
        <v>45971</v>
      </c>
      <c r="D2037" s="12" t="s">
        <v>4985</v>
      </c>
      <c r="E2037" s="136"/>
      <c r="F2037" s="102" t="s">
        <v>2674</v>
      </c>
      <c r="G2037" s="137"/>
      <c r="H2037" s="67"/>
      <c r="I2037" s="71"/>
      <c r="J2037" s="72">
        <v>593.25</v>
      </c>
      <c r="K2037" s="88" t="s">
        <v>17</v>
      </c>
      <c r="L2037" s="73"/>
      <c r="M2037" s="11" t="s">
        <v>3698</v>
      </c>
    </row>
    <row r="2038" spans="2:13" ht="15" customHeight="1" x14ac:dyDescent="0.25">
      <c r="B2038" s="45" t="s">
        <v>4986</v>
      </c>
      <c r="C2038" s="120">
        <v>45971</v>
      </c>
      <c r="D2038" s="12" t="s">
        <v>4987</v>
      </c>
      <c r="E2038" s="136"/>
      <c r="F2038" s="12" t="s">
        <v>4988</v>
      </c>
      <c r="G2038" s="137"/>
      <c r="H2038" s="67"/>
      <c r="I2038" s="71"/>
      <c r="J2038" s="72">
        <v>2175</v>
      </c>
      <c r="K2038" s="88" t="s">
        <v>4954</v>
      </c>
      <c r="L2038" s="73"/>
      <c r="M2038" s="11" t="s">
        <v>3698</v>
      </c>
    </row>
    <row r="2039" spans="2:13" ht="15" customHeight="1" x14ac:dyDescent="0.25">
      <c r="B2039" s="45" t="s">
        <v>4989</v>
      </c>
      <c r="C2039" s="120">
        <v>45972</v>
      </c>
      <c r="D2039" t="s">
        <v>4990</v>
      </c>
      <c r="E2039" s="136"/>
      <c r="F2039" t="s">
        <v>4991</v>
      </c>
      <c r="G2039" s="137"/>
      <c r="H2039" s="67"/>
      <c r="I2039" s="71"/>
      <c r="J2039" s="72">
        <v>704.75</v>
      </c>
      <c r="K2039" s="88" t="s">
        <v>4954</v>
      </c>
      <c r="L2039" s="73"/>
      <c r="M2039" s="11" t="s">
        <v>18</v>
      </c>
    </row>
    <row r="2040" spans="2:13" ht="15" customHeight="1" x14ac:dyDescent="0.25">
      <c r="B2040" s="45" t="s">
        <v>4992</v>
      </c>
      <c r="C2040" s="120">
        <v>45972</v>
      </c>
      <c r="D2040" t="s">
        <v>211</v>
      </c>
      <c r="E2040" s="136"/>
      <c r="F2040" s="102" t="s">
        <v>1323</v>
      </c>
      <c r="G2040" s="137"/>
      <c r="H2040" s="67"/>
      <c r="I2040" s="71"/>
      <c r="J2040" s="72">
        <v>3120</v>
      </c>
      <c r="K2040" s="88" t="s">
        <v>17</v>
      </c>
      <c r="L2040" s="73"/>
      <c r="M2040" s="11" t="s">
        <v>31</v>
      </c>
    </row>
    <row r="2041" spans="2:13" ht="15" customHeight="1" x14ac:dyDescent="0.25">
      <c r="B2041" s="45" t="s">
        <v>4993</v>
      </c>
      <c r="C2041" s="120">
        <v>45971</v>
      </c>
      <c r="D2041" s="12" t="s">
        <v>4776</v>
      </c>
      <c r="E2041" s="136"/>
      <c r="F2041" s="12" t="s">
        <v>143</v>
      </c>
      <c r="G2041" s="137"/>
      <c r="H2041" s="67"/>
      <c r="I2041" s="71"/>
      <c r="J2041" s="72">
        <v>1475</v>
      </c>
      <c r="K2041" s="88" t="s">
        <v>3625</v>
      </c>
      <c r="L2041" s="73"/>
      <c r="M2041" s="11" t="s">
        <v>3698</v>
      </c>
    </row>
    <row r="2042" spans="2:13" x14ac:dyDescent="0.25">
      <c r="B2042" s="45" t="s">
        <v>4994</v>
      </c>
      <c r="C2042" s="120">
        <v>45972</v>
      </c>
      <c r="D2042" t="s">
        <v>211</v>
      </c>
      <c r="E2042" s="136"/>
      <c r="F2042" s="10" t="s">
        <v>1323</v>
      </c>
      <c r="G2042" s="137"/>
      <c r="H2042" s="67"/>
      <c r="I2042" s="71"/>
      <c r="J2042" s="72">
        <v>260</v>
      </c>
      <c r="K2042" s="88" t="s">
        <v>17</v>
      </c>
      <c r="L2042" s="73"/>
      <c r="M2042" s="11" t="s">
        <v>31</v>
      </c>
    </row>
    <row r="2043" spans="2:13" ht="15" customHeight="1" x14ac:dyDescent="0.25">
      <c r="B2043" s="45" t="s">
        <v>4995</v>
      </c>
      <c r="C2043" s="120">
        <v>45973</v>
      </c>
      <c r="D2043" s="102" t="s">
        <v>4958</v>
      </c>
      <c r="E2043" s="136"/>
      <c r="F2043" s="102" t="s">
        <v>4996</v>
      </c>
      <c r="G2043" s="137"/>
      <c r="H2043" s="67"/>
      <c r="I2043" s="71"/>
      <c r="J2043" s="72">
        <v>892</v>
      </c>
      <c r="K2043" s="88" t="s">
        <v>17</v>
      </c>
      <c r="L2043" s="73"/>
      <c r="M2043" s="11" t="s">
        <v>18</v>
      </c>
    </row>
    <row r="2044" spans="2:13" ht="15" customHeight="1" x14ac:dyDescent="0.25">
      <c r="B2044" s="45" t="s">
        <v>4997</v>
      </c>
      <c r="C2044" s="120">
        <v>45972</v>
      </c>
      <c r="D2044" s="12" t="s">
        <v>4998</v>
      </c>
      <c r="E2044" s="136"/>
      <c r="F2044" s="12" t="s">
        <v>4999</v>
      </c>
      <c r="G2044" s="137"/>
      <c r="H2044" s="67"/>
      <c r="I2044" s="71"/>
      <c r="J2044" s="72">
        <v>1050</v>
      </c>
      <c r="K2044" s="88" t="s">
        <v>17</v>
      </c>
      <c r="L2044" s="73"/>
      <c r="M2044" s="11" t="s">
        <v>3698</v>
      </c>
    </row>
    <row r="2045" spans="2:13" ht="15" customHeight="1" x14ac:dyDescent="0.25">
      <c r="B2045" s="45" t="s">
        <v>5000</v>
      </c>
      <c r="C2045" s="120">
        <v>45973</v>
      </c>
      <c r="D2045" s="147" t="s">
        <v>5001</v>
      </c>
      <c r="E2045" s="136"/>
      <c r="F2045" s="147" t="s">
        <v>5002</v>
      </c>
      <c r="G2045" s="137"/>
      <c r="H2045" s="67"/>
      <c r="I2045" s="71"/>
      <c r="J2045" s="72">
        <v>2764</v>
      </c>
      <c r="K2045" s="88" t="s">
        <v>4954</v>
      </c>
      <c r="L2045" s="73"/>
      <c r="M2045" s="11" t="s">
        <v>18</v>
      </c>
    </row>
    <row r="2046" spans="2:13" ht="15" customHeight="1" x14ac:dyDescent="0.25">
      <c r="B2046" s="45" t="s">
        <v>5003</v>
      </c>
      <c r="C2046" s="120">
        <v>45972</v>
      </c>
      <c r="D2046" s="12" t="s">
        <v>1060</v>
      </c>
      <c r="E2046" s="136"/>
      <c r="F2046" s="12" t="s">
        <v>2712</v>
      </c>
      <c r="G2046" s="137"/>
      <c r="H2046" s="67"/>
      <c r="I2046" s="71"/>
      <c r="J2046" s="72">
        <v>4860</v>
      </c>
      <c r="K2046" s="88" t="s">
        <v>17</v>
      </c>
      <c r="L2046" s="73"/>
      <c r="M2046" s="11" t="s">
        <v>3698</v>
      </c>
    </row>
    <row r="2047" spans="2:13" ht="15" customHeight="1" x14ac:dyDescent="0.25">
      <c r="B2047" s="45" t="s">
        <v>5004</v>
      </c>
      <c r="C2047" s="120">
        <v>45973</v>
      </c>
      <c r="D2047" s="12" t="s">
        <v>211</v>
      </c>
      <c r="E2047" s="136"/>
      <c r="F2047" s="12" t="s">
        <v>5005</v>
      </c>
      <c r="G2047" s="137"/>
      <c r="H2047" s="67"/>
      <c r="I2047" s="71"/>
      <c r="J2047" s="72">
        <v>2640</v>
      </c>
      <c r="K2047" s="88" t="s">
        <v>3625</v>
      </c>
      <c r="L2047" s="73"/>
      <c r="M2047" s="11" t="s">
        <v>3698</v>
      </c>
    </row>
    <row r="2048" spans="2:13" ht="15" customHeight="1" x14ac:dyDescent="0.25">
      <c r="B2048" s="45" t="s">
        <v>5006</v>
      </c>
      <c r="C2048" s="120">
        <v>45978</v>
      </c>
      <c r="D2048" s="12" t="s">
        <v>5007</v>
      </c>
      <c r="E2048" s="136"/>
      <c r="F2048" s="12" t="s">
        <v>5008</v>
      </c>
      <c r="G2048" s="137"/>
      <c r="H2048" s="67"/>
      <c r="I2048" s="71"/>
      <c r="J2048" s="72">
        <v>2650</v>
      </c>
      <c r="K2048" s="88" t="s">
        <v>3261</v>
      </c>
      <c r="L2048" s="73"/>
      <c r="M2048" s="11" t="s">
        <v>3698</v>
      </c>
    </row>
    <row r="2049" spans="2:13" ht="15" customHeight="1" x14ac:dyDescent="0.25">
      <c r="B2049" s="45" t="s">
        <v>5009</v>
      </c>
      <c r="C2049" s="120">
        <v>45973</v>
      </c>
      <c r="D2049" s="12" t="s">
        <v>463</v>
      </c>
      <c r="E2049" s="136"/>
      <c r="F2049" s="12" t="s">
        <v>1247</v>
      </c>
      <c r="G2049" s="137"/>
      <c r="H2049" s="67"/>
      <c r="I2049" s="71"/>
      <c r="J2049" s="72">
        <v>235</v>
      </c>
      <c r="K2049" s="88" t="s">
        <v>17</v>
      </c>
      <c r="L2049" s="73"/>
      <c r="M2049" s="11" t="s">
        <v>3698</v>
      </c>
    </row>
    <row r="2050" spans="2:13" ht="15" customHeight="1" x14ac:dyDescent="0.25">
      <c r="B2050" s="45" t="s">
        <v>5010</v>
      </c>
      <c r="C2050" s="120">
        <v>45973</v>
      </c>
      <c r="D2050" s="12" t="s">
        <v>3008</v>
      </c>
      <c r="E2050" s="136"/>
      <c r="F2050" s="12" t="s">
        <v>5011</v>
      </c>
      <c r="G2050" s="137"/>
      <c r="H2050" s="67"/>
      <c r="I2050" s="71"/>
      <c r="J2050" s="72">
        <v>3520</v>
      </c>
      <c r="K2050" s="88" t="s">
        <v>1874</v>
      </c>
      <c r="L2050" s="73"/>
      <c r="M2050" s="11" t="s">
        <v>3698</v>
      </c>
    </row>
    <row r="2051" spans="2:13" ht="15" customHeight="1" x14ac:dyDescent="0.25">
      <c r="B2051" s="45" t="s">
        <v>5012</v>
      </c>
      <c r="C2051" s="120">
        <v>45975</v>
      </c>
      <c r="D2051" t="s">
        <v>1060</v>
      </c>
      <c r="E2051" s="136"/>
      <c r="F2051" s="147" t="s">
        <v>2301</v>
      </c>
      <c r="G2051" s="137"/>
      <c r="H2051" s="67"/>
      <c r="I2051" s="71"/>
      <c r="J2051" s="72">
        <v>637.5</v>
      </c>
      <c r="K2051" s="88" t="s">
        <v>17</v>
      </c>
      <c r="L2051" s="73"/>
      <c r="M2051" s="11" t="s">
        <v>31</v>
      </c>
    </row>
    <row r="2052" spans="2:13" ht="15" customHeight="1" x14ac:dyDescent="0.25">
      <c r="B2052" s="45" t="s">
        <v>5013</v>
      </c>
      <c r="C2052" s="120">
        <v>45975</v>
      </c>
      <c r="D2052" s="12" t="s">
        <v>426</v>
      </c>
      <c r="E2052" s="136"/>
      <c r="F2052" s="12" t="s">
        <v>5014</v>
      </c>
      <c r="G2052" s="137"/>
      <c r="H2052" s="67"/>
      <c r="I2052" s="71"/>
      <c r="J2052" s="72">
        <v>1096.7</v>
      </c>
      <c r="K2052" s="88" t="s">
        <v>17</v>
      </c>
      <c r="L2052" s="73"/>
      <c r="M2052" s="11" t="s">
        <v>3698</v>
      </c>
    </row>
    <row r="2053" spans="2:13" ht="15" customHeight="1" x14ac:dyDescent="0.25">
      <c r="B2053" s="45" t="s">
        <v>5015</v>
      </c>
      <c r="C2053" s="120">
        <v>45974</v>
      </c>
      <c r="D2053" s="12" t="s">
        <v>3008</v>
      </c>
      <c r="E2053" s="136"/>
      <c r="F2053" s="12" t="s">
        <v>5016</v>
      </c>
      <c r="G2053" s="137"/>
      <c r="H2053" s="67"/>
      <c r="I2053" s="71"/>
      <c r="J2053" s="72">
        <v>1475</v>
      </c>
      <c r="K2053" s="88" t="s">
        <v>1874</v>
      </c>
      <c r="L2053" s="73"/>
      <c r="M2053" s="11" t="s">
        <v>3698</v>
      </c>
    </row>
    <row r="2054" spans="2:13" ht="15" customHeight="1" x14ac:dyDescent="0.25">
      <c r="B2054" s="45" t="s">
        <v>5017</v>
      </c>
      <c r="C2054" s="120">
        <v>45974</v>
      </c>
      <c r="D2054" s="12" t="s">
        <v>211</v>
      </c>
      <c r="E2054" s="136"/>
      <c r="F2054" s="12" t="s">
        <v>5018</v>
      </c>
      <c r="G2054" s="137"/>
      <c r="H2054" s="67"/>
      <c r="I2054" s="71"/>
      <c r="J2054" s="72">
        <v>85</v>
      </c>
      <c r="K2054" s="88" t="s">
        <v>17</v>
      </c>
      <c r="L2054" s="73"/>
      <c r="M2054" s="11" t="s">
        <v>31</v>
      </c>
    </row>
    <row r="2055" spans="2:13" ht="15" customHeight="1" x14ac:dyDescent="0.25">
      <c r="B2055" s="45" t="s">
        <v>5019</v>
      </c>
      <c r="C2055" s="120">
        <v>45974</v>
      </c>
      <c r="D2055" t="s">
        <v>27</v>
      </c>
      <c r="E2055" s="136"/>
      <c r="F2055" s="147" t="s">
        <v>5020</v>
      </c>
      <c r="G2055" s="137"/>
      <c r="H2055" s="67"/>
      <c r="I2055" s="71"/>
      <c r="J2055" s="72">
        <v>750</v>
      </c>
      <c r="K2055" s="88" t="s">
        <v>17</v>
      </c>
      <c r="L2055" s="73"/>
      <c r="M2055" s="11" t="s">
        <v>31</v>
      </c>
    </row>
    <row r="2056" spans="2:13" ht="15" customHeight="1" x14ac:dyDescent="0.25">
      <c r="B2056" s="45" t="s">
        <v>5021</v>
      </c>
      <c r="C2056" s="120">
        <v>45974</v>
      </c>
      <c r="D2056" s="102" t="s">
        <v>5022</v>
      </c>
      <c r="E2056" s="136"/>
      <c r="F2056" s="102" t="s">
        <v>5023</v>
      </c>
      <c r="G2056" s="137"/>
      <c r="H2056" s="67"/>
      <c r="I2056" s="71"/>
      <c r="J2056" s="72">
        <v>1242</v>
      </c>
      <c r="K2056" s="88" t="s">
        <v>4954</v>
      </c>
      <c r="L2056" s="73"/>
      <c r="M2056" s="11" t="s">
        <v>3698</v>
      </c>
    </row>
    <row r="2057" spans="2:13" ht="15" customHeight="1" x14ac:dyDescent="0.25">
      <c r="B2057" s="45" t="s">
        <v>5024</v>
      </c>
      <c r="C2057" s="120">
        <v>45974</v>
      </c>
      <c r="D2057" s="12" t="s">
        <v>4060</v>
      </c>
      <c r="E2057" s="136"/>
      <c r="F2057" s="12" t="s">
        <v>5025</v>
      </c>
      <c r="G2057" s="137"/>
      <c r="H2057" s="67"/>
      <c r="I2057" s="71"/>
      <c r="J2057" s="72">
        <v>750</v>
      </c>
      <c r="K2057" s="88" t="s">
        <v>1874</v>
      </c>
      <c r="L2057" s="73"/>
      <c r="M2057" s="11" t="s">
        <v>18</v>
      </c>
    </row>
    <row r="2058" spans="2:13" ht="15" customHeight="1" x14ac:dyDescent="0.25">
      <c r="B2058" s="45" t="s">
        <v>5026</v>
      </c>
      <c r="C2058" s="120">
        <v>45974</v>
      </c>
      <c r="D2058" t="s">
        <v>429</v>
      </c>
      <c r="E2058" s="136"/>
      <c r="F2058" t="s">
        <v>1112</v>
      </c>
      <c r="G2058" s="137"/>
      <c r="H2058" s="67"/>
      <c r="I2058" s="71"/>
      <c r="J2058" s="72">
        <v>225</v>
      </c>
      <c r="K2058" s="88" t="s">
        <v>17</v>
      </c>
      <c r="L2058" s="73"/>
      <c r="M2058" s="11" t="s">
        <v>31</v>
      </c>
    </row>
    <row r="2059" spans="2:13" ht="15" customHeight="1" x14ac:dyDescent="0.25">
      <c r="B2059" s="45" t="s">
        <v>5027</v>
      </c>
      <c r="C2059" s="120">
        <v>45974</v>
      </c>
      <c r="D2059" t="s">
        <v>211</v>
      </c>
      <c r="E2059" s="136"/>
      <c r="F2059" t="s">
        <v>5028</v>
      </c>
      <c r="G2059" s="137"/>
      <c r="H2059" s="67"/>
      <c r="I2059" s="71"/>
      <c r="J2059" s="72">
        <v>160</v>
      </c>
      <c r="K2059" s="88" t="s">
        <v>17</v>
      </c>
      <c r="L2059" s="73"/>
      <c r="M2059" s="11" t="s">
        <v>31</v>
      </c>
    </row>
    <row r="2060" spans="2:13" ht="15" customHeight="1" x14ac:dyDescent="0.25">
      <c r="B2060" s="45" t="s">
        <v>5029</v>
      </c>
      <c r="C2060" s="120">
        <v>45975</v>
      </c>
      <c r="D2060" s="12" t="s">
        <v>1722</v>
      </c>
      <c r="E2060" s="136"/>
      <c r="F2060" s="12" t="s">
        <v>5030</v>
      </c>
      <c r="G2060" s="137"/>
      <c r="H2060" s="67"/>
      <c r="I2060" s="71"/>
      <c r="J2060" s="72">
        <v>235</v>
      </c>
      <c r="K2060" s="88" t="s">
        <v>17</v>
      </c>
      <c r="L2060" s="73"/>
      <c r="M2060" s="11" t="s">
        <v>3698</v>
      </c>
    </row>
    <row r="2061" spans="2:13" ht="15" customHeight="1" x14ac:dyDescent="0.25">
      <c r="B2061" s="45" t="s">
        <v>5031</v>
      </c>
      <c r="C2061" s="120">
        <v>45975</v>
      </c>
      <c r="D2061" s="12" t="s">
        <v>3914</v>
      </c>
      <c r="E2061" s="136"/>
      <c r="F2061" s="12" t="s">
        <v>5032</v>
      </c>
      <c r="G2061" s="137"/>
      <c r="H2061" s="67"/>
      <c r="I2061" s="71"/>
      <c r="J2061" s="72">
        <v>317.5</v>
      </c>
      <c r="K2061" s="88" t="s">
        <v>1874</v>
      </c>
      <c r="L2061" s="73"/>
      <c r="M2061" s="11" t="s">
        <v>3698</v>
      </c>
    </row>
    <row r="2062" spans="2:13" ht="15" customHeight="1" x14ac:dyDescent="0.25">
      <c r="B2062" s="45" t="s">
        <v>5033</v>
      </c>
      <c r="C2062" s="120">
        <v>45975</v>
      </c>
      <c r="D2062" s="12" t="s">
        <v>3440</v>
      </c>
      <c r="E2062" s="136"/>
      <c r="F2062" s="12" t="s">
        <v>5034</v>
      </c>
      <c r="G2062" s="137"/>
      <c r="H2062" s="67"/>
      <c r="I2062" s="71"/>
      <c r="J2062" s="72">
        <v>5737.5</v>
      </c>
      <c r="K2062" s="88" t="s">
        <v>1874</v>
      </c>
      <c r="L2062" s="73"/>
      <c r="M2062" s="11" t="s">
        <v>3698</v>
      </c>
    </row>
    <row r="2063" spans="2:13" ht="15" customHeight="1" x14ac:dyDescent="0.25">
      <c r="B2063" s="45" t="s">
        <v>5035</v>
      </c>
      <c r="C2063" s="120">
        <v>45975</v>
      </c>
      <c r="D2063" t="s">
        <v>3071</v>
      </c>
      <c r="E2063" s="136"/>
      <c r="F2063" t="s">
        <v>5036</v>
      </c>
      <c r="G2063" s="137"/>
      <c r="H2063" s="67"/>
      <c r="I2063" s="71"/>
      <c r="J2063" s="72">
        <v>27680</v>
      </c>
      <c r="K2063" s="88" t="s">
        <v>1874</v>
      </c>
      <c r="L2063" s="73"/>
      <c r="M2063" s="11" t="s">
        <v>18</v>
      </c>
    </row>
    <row r="2064" spans="2:13" ht="15" customHeight="1" x14ac:dyDescent="0.25">
      <c r="B2064" s="45" t="s">
        <v>5037</v>
      </c>
      <c r="C2064" s="120">
        <v>45975</v>
      </c>
      <c r="D2064" s="12" t="s">
        <v>433</v>
      </c>
      <c r="E2064" s="136"/>
      <c r="F2064" s="12" t="s">
        <v>2691</v>
      </c>
      <c r="G2064" s="137"/>
      <c r="H2064" s="67"/>
      <c r="I2064" s="71"/>
      <c r="J2064" s="72">
        <v>19500</v>
      </c>
      <c r="K2064" s="88" t="s">
        <v>17</v>
      </c>
      <c r="L2064" s="73"/>
      <c r="M2064" s="11" t="s">
        <v>3698</v>
      </c>
    </row>
    <row r="2065" spans="2:13" ht="15" customHeight="1" x14ac:dyDescent="0.25">
      <c r="B2065" s="45" t="s">
        <v>5038</v>
      </c>
      <c r="C2065" s="120">
        <v>45975</v>
      </c>
      <c r="D2065" t="s">
        <v>5039</v>
      </c>
      <c r="E2065" s="136"/>
      <c r="F2065" t="s">
        <v>2691</v>
      </c>
      <c r="G2065" s="137"/>
      <c r="H2065" s="67"/>
      <c r="I2065" s="71"/>
      <c r="J2065" s="72">
        <v>135</v>
      </c>
      <c r="K2065" s="88" t="s">
        <v>17</v>
      </c>
      <c r="L2065" s="73"/>
      <c r="M2065" s="11" t="s">
        <v>31</v>
      </c>
    </row>
    <row r="2066" spans="2:13" ht="15" customHeight="1" x14ac:dyDescent="0.25">
      <c r="B2066" s="45" t="s">
        <v>5040</v>
      </c>
      <c r="C2066" s="120">
        <v>45975</v>
      </c>
      <c r="D2066" s="12" t="s">
        <v>5041</v>
      </c>
      <c r="E2066" s="136"/>
      <c r="F2066" s="12" t="s">
        <v>2691</v>
      </c>
      <c r="G2066" s="137"/>
      <c r="H2066" s="67"/>
      <c r="I2066" s="71"/>
      <c r="J2066" s="72">
        <v>9600</v>
      </c>
      <c r="K2066" s="88" t="s">
        <v>4954</v>
      </c>
      <c r="L2066" s="73"/>
      <c r="M2066" s="11" t="s">
        <v>3698</v>
      </c>
    </row>
    <row r="2067" spans="2:13" ht="15" customHeight="1" x14ac:dyDescent="0.25">
      <c r="B2067" s="45" t="s">
        <v>5042</v>
      </c>
      <c r="C2067" s="120">
        <v>45975</v>
      </c>
      <c r="D2067" t="s">
        <v>211</v>
      </c>
      <c r="E2067" s="136"/>
      <c r="F2067" t="s">
        <v>5043</v>
      </c>
      <c r="G2067" s="137"/>
      <c r="H2067" s="67"/>
      <c r="I2067" s="71"/>
      <c r="J2067" s="72">
        <v>300</v>
      </c>
      <c r="K2067" s="88" t="s">
        <v>17</v>
      </c>
      <c r="L2067" s="73"/>
      <c r="M2067" s="11" t="s">
        <v>31</v>
      </c>
    </row>
    <row r="2068" spans="2:13" ht="15" customHeight="1" x14ac:dyDescent="0.25">
      <c r="B2068" s="45" t="s">
        <v>5044</v>
      </c>
      <c r="C2068" s="120">
        <v>45976</v>
      </c>
      <c r="D2068" t="s">
        <v>27</v>
      </c>
      <c r="E2068" s="136"/>
      <c r="F2068" s="102" t="s">
        <v>5045</v>
      </c>
      <c r="G2068" s="137"/>
      <c r="H2068" s="67"/>
      <c r="I2068" s="71"/>
      <c r="J2068" s="72">
        <v>1267.5</v>
      </c>
      <c r="K2068" s="88" t="s">
        <v>17</v>
      </c>
      <c r="L2068" s="73"/>
      <c r="M2068" s="11" t="s">
        <v>31</v>
      </c>
    </row>
    <row r="2069" spans="2:13" ht="15" customHeight="1" x14ac:dyDescent="0.25">
      <c r="B2069" s="45" t="s">
        <v>5046</v>
      </c>
      <c r="C2069" s="120">
        <v>45976</v>
      </c>
      <c r="D2069" s="12" t="s">
        <v>211</v>
      </c>
      <c r="E2069" s="136"/>
      <c r="F2069" s="12" t="s">
        <v>679</v>
      </c>
      <c r="G2069" s="137"/>
      <c r="H2069" s="67"/>
      <c r="I2069" s="71"/>
      <c r="J2069" s="72">
        <v>58500</v>
      </c>
      <c r="K2069" s="88" t="s">
        <v>17</v>
      </c>
      <c r="L2069" s="73"/>
      <c r="M2069" s="11" t="s">
        <v>3698</v>
      </c>
    </row>
    <row r="2070" spans="2:13" ht="15" customHeight="1" x14ac:dyDescent="0.25">
      <c r="B2070" s="45" t="s">
        <v>5047</v>
      </c>
      <c r="C2070" s="120">
        <v>45976</v>
      </c>
      <c r="D2070" s="12" t="s">
        <v>211</v>
      </c>
      <c r="E2070" s="136"/>
      <c r="F2070" s="12" t="s">
        <v>1072</v>
      </c>
      <c r="G2070" s="137"/>
      <c r="H2070" s="67"/>
      <c r="I2070" s="71"/>
      <c r="J2070" s="72">
        <v>2475</v>
      </c>
      <c r="K2070" s="88" t="s">
        <v>17</v>
      </c>
      <c r="L2070" s="73"/>
      <c r="M2070" s="11" t="s">
        <v>3698</v>
      </c>
    </row>
    <row r="2071" spans="2:13" ht="15" customHeight="1" x14ac:dyDescent="0.25">
      <c r="B2071" s="45" t="s">
        <v>5048</v>
      </c>
      <c r="C2071" s="120">
        <v>45978</v>
      </c>
      <c r="D2071" s="12" t="s">
        <v>5049</v>
      </c>
      <c r="E2071" s="136"/>
      <c r="F2071" s="12" t="s">
        <v>5050</v>
      </c>
      <c r="G2071" s="137"/>
      <c r="H2071" s="67"/>
      <c r="I2071" s="71"/>
      <c r="J2071" s="72">
        <v>380</v>
      </c>
      <c r="K2071" s="88" t="s">
        <v>4954</v>
      </c>
      <c r="L2071" s="73"/>
      <c r="M2071" s="11" t="s">
        <v>3698</v>
      </c>
    </row>
    <row r="2072" spans="2:13" ht="15" customHeight="1" x14ac:dyDescent="0.25">
      <c r="B2072" s="45" t="s">
        <v>5051</v>
      </c>
      <c r="C2072" s="120">
        <v>45978</v>
      </c>
      <c r="D2072" s="12" t="s">
        <v>4348</v>
      </c>
      <c r="E2072" s="136"/>
      <c r="F2072" s="12" t="s">
        <v>1247</v>
      </c>
      <c r="G2072" s="137"/>
      <c r="H2072" s="67"/>
      <c r="I2072" s="71"/>
      <c r="J2072" s="72">
        <v>425</v>
      </c>
      <c r="K2072" s="88" t="s">
        <v>1874</v>
      </c>
      <c r="L2072" s="73"/>
      <c r="M2072" s="11" t="s">
        <v>31</v>
      </c>
    </row>
    <row r="2073" spans="2:13" ht="15" customHeight="1" x14ac:dyDescent="0.25">
      <c r="B2073" s="45" t="s">
        <v>5052</v>
      </c>
      <c r="C2073" s="120">
        <v>45978</v>
      </c>
      <c r="D2073" s="12" t="s">
        <v>5053</v>
      </c>
      <c r="E2073" s="136"/>
      <c r="F2073" s="12" t="s">
        <v>5054</v>
      </c>
      <c r="G2073" s="137"/>
      <c r="H2073" s="67"/>
      <c r="I2073" s="71"/>
      <c r="J2073" s="72">
        <v>297.75</v>
      </c>
      <c r="K2073" s="88" t="s">
        <v>17</v>
      </c>
      <c r="L2073" s="73"/>
      <c r="M2073" s="11" t="s">
        <v>3698</v>
      </c>
    </row>
    <row r="2074" spans="2:13" ht="15" customHeight="1" x14ac:dyDescent="0.25">
      <c r="B2074" s="45" t="s">
        <v>5055</v>
      </c>
      <c r="C2074" s="120">
        <v>45979</v>
      </c>
      <c r="D2074" s="102" t="s">
        <v>5053</v>
      </c>
      <c r="E2074" s="136"/>
      <c r="F2074" s="12" t="s">
        <v>5056</v>
      </c>
      <c r="G2074" s="137"/>
      <c r="H2074" s="67"/>
      <c r="I2074" s="71"/>
      <c r="J2074" s="72">
        <v>750</v>
      </c>
      <c r="K2074" s="88" t="s">
        <v>17</v>
      </c>
      <c r="L2074" s="73"/>
      <c r="M2074" s="11" t="s">
        <v>3698</v>
      </c>
    </row>
    <row r="2075" spans="2:13" ht="15" customHeight="1" x14ac:dyDescent="0.25">
      <c r="B2075" s="45" t="s">
        <v>5057</v>
      </c>
      <c r="C2075" s="120">
        <v>45979</v>
      </c>
      <c r="D2075" s="12" t="s">
        <v>5058</v>
      </c>
      <c r="E2075" s="136"/>
      <c r="F2075" s="12" t="s">
        <v>5059</v>
      </c>
      <c r="G2075" s="137"/>
      <c r="H2075" s="67"/>
      <c r="I2075" s="71"/>
      <c r="J2075" s="72">
        <v>425</v>
      </c>
      <c r="K2075" s="88" t="s">
        <v>1874</v>
      </c>
      <c r="L2075" s="73"/>
      <c r="M2075" s="11" t="s">
        <v>31</v>
      </c>
    </row>
    <row r="2076" spans="2:13" ht="15" customHeight="1" x14ac:dyDescent="0.25">
      <c r="B2076" s="45" t="s">
        <v>5060</v>
      </c>
      <c r="C2076" s="120">
        <v>45979</v>
      </c>
      <c r="D2076" s="12" t="s">
        <v>429</v>
      </c>
      <c r="E2076" s="136"/>
      <c r="F2076" s="12" t="s">
        <v>1756</v>
      </c>
      <c r="G2076" s="137"/>
      <c r="H2076" s="67"/>
      <c r="I2076" s="71"/>
      <c r="J2076" s="72">
        <v>225</v>
      </c>
      <c r="K2076" s="88" t="s">
        <v>17</v>
      </c>
      <c r="L2076" s="73"/>
      <c r="M2076" s="11" t="s">
        <v>3698</v>
      </c>
    </row>
    <row r="2077" spans="2:13" ht="15" customHeight="1" x14ac:dyDescent="0.25">
      <c r="B2077" s="45" t="s">
        <v>5061</v>
      </c>
      <c r="C2077" s="120">
        <v>45979</v>
      </c>
      <c r="D2077" s="12" t="s">
        <v>4641</v>
      </c>
      <c r="E2077" s="136"/>
      <c r="F2077" s="12" t="s">
        <v>5062</v>
      </c>
      <c r="G2077" s="137"/>
      <c r="H2077" s="67"/>
      <c r="I2077" s="71"/>
      <c r="J2077" s="72">
        <v>485</v>
      </c>
      <c r="K2077" s="88" t="s">
        <v>17</v>
      </c>
      <c r="L2077" s="73"/>
      <c r="M2077" s="11" t="s">
        <v>31</v>
      </c>
    </row>
    <row r="2078" spans="2:13" ht="15" customHeight="1" x14ac:dyDescent="0.25">
      <c r="B2078" s="45" t="s">
        <v>5063</v>
      </c>
      <c r="C2078" s="120">
        <v>45979</v>
      </c>
      <c r="D2078" s="12" t="s">
        <v>211</v>
      </c>
      <c r="E2078" s="136"/>
      <c r="F2078" s="12" t="s">
        <v>4948</v>
      </c>
      <c r="G2078" s="137"/>
      <c r="H2078" s="67"/>
      <c r="I2078" s="71"/>
      <c r="J2078" s="72">
        <v>925</v>
      </c>
      <c r="K2078" s="88" t="s">
        <v>17</v>
      </c>
      <c r="L2078" s="73"/>
      <c r="M2078" s="11" t="s">
        <v>31</v>
      </c>
    </row>
    <row r="2079" spans="2:13" ht="15" customHeight="1" x14ac:dyDescent="0.25">
      <c r="B2079" s="45" t="s">
        <v>5064</v>
      </c>
      <c r="C2079" s="120">
        <v>45979</v>
      </c>
      <c r="D2079" s="12" t="s">
        <v>4639</v>
      </c>
      <c r="E2079" s="136"/>
      <c r="F2079" s="12" t="s">
        <v>5065</v>
      </c>
      <c r="G2079" s="137"/>
      <c r="H2079" s="67"/>
      <c r="I2079" s="71"/>
      <c r="J2079" s="72">
        <v>637.5</v>
      </c>
      <c r="K2079" s="88" t="s">
        <v>4954</v>
      </c>
      <c r="L2079" s="73"/>
      <c r="M2079" s="11" t="s">
        <v>18</v>
      </c>
    </row>
    <row r="2080" spans="2:13" ht="15" customHeight="1" x14ac:dyDescent="0.25">
      <c r="B2080" s="45" t="s">
        <v>5066</v>
      </c>
      <c r="C2080" s="120">
        <v>45980</v>
      </c>
      <c r="D2080" s="12" t="s">
        <v>211</v>
      </c>
      <c r="E2080" s="136"/>
      <c r="F2080" s="12" t="s">
        <v>5067</v>
      </c>
      <c r="G2080" s="137"/>
      <c r="H2080" s="67"/>
      <c r="I2080" s="71"/>
      <c r="J2080" s="72">
        <v>85</v>
      </c>
      <c r="K2080" s="88" t="s">
        <v>17</v>
      </c>
      <c r="L2080" s="73"/>
      <c r="M2080" s="11" t="s">
        <v>31</v>
      </c>
    </row>
    <row r="2081" spans="2:13" ht="15" customHeight="1" x14ac:dyDescent="0.25">
      <c r="B2081" s="45" t="s">
        <v>5068</v>
      </c>
      <c r="C2081" s="120">
        <v>45980</v>
      </c>
      <c r="D2081" s="12" t="s">
        <v>5069</v>
      </c>
      <c r="E2081" s="136"/>
      <c r="F2081" s="12" t="s">
        <v>5070</v>
      </c>
      <c r="G2081" s="137"/>
      <c r="H2081" s="67"/>
      <c r="I2081" s="71"/>
      <c r="J2081" s="72">
        <v>1957.5</v>
      </c>
      <c r="K2081" s="88" t="s">
        <v>4954</v>
      </c>
      <c r="L2081" s="73"/>
      <c r="M2081" s="11" t="s">
        <v>31</v>
      </c>
    </row>
    <row r="2082" spans="2:13" ht="15" customHeight="1" x14ac:dyDescent="0.25">
      <c r="B2082" s="45" t="s">
        <v>5071</v>
      </c>
      <c r="C2082" s="120">
        <v>45981</v>
      </c>
      <c r="D2082" s="12" t="s">
        <v>1060</v>
      </c>
      <c r="E2082" s="136"/>
      <c r="F2082" s="12" t="s">
        <v>5072</v>
      </c>
      <c r="G2082" s="137"/>
      <c r="H2082" s="67"/>
      <c r="I2082" s="71"/>
      <c r="J2082" s="72">
        <v>3727</v>
      </c>
      <c r="K2082" s="88" t="s">
        <v>17</v>
      </c>
      <c r="L2082" s="73"/>
      <c r="M2082" s="11" t="s">
        <v>31</v>
      </c>
    </row>
    <row r="2083" spans="2:13" ht="15" customHeight="1" x14ac:dyDescent="0.25">
      <c r="B2083" s="45" t="s">
        <v>5073</v>
      </c>
      <c r="C2083" s="120">
        <v>45980</v>
      </c>
      <c r="D2083" s="12" t="s">
        <v>211</v>
      </c>
      <c r="E2083" s="136"/>
      <c r="F2083" s="12" t="s">
        <v>1728</v>
      </c>
      <c r="G2083" s="137"/>
      <c r="H2083" s="67"/>
      <c r="I2083" s="71"/>
      <c r="J2083" s="72">
        <v>1560</v>
      </c>
      <c r="K2083" s="88" t="s">
        <v>17</v>
      </c>
      <c r="L2083" s="73"/>
      <c r="M2083" s="11" t="s">
        <v>3698</v>
      </c>
    </row>
    <row r="2084" spans="2:13" ht="15" customHeight="1" x14ac:dyDescent="0.25">
      <c r="B2084" s="45" t="s">
        <v>5074</v>
      </c>
      <c r="C2084" s="120">
        <v>45980</v>
      </c>
      <c r="D2084" s="12" t="s">
        <v>5075</v>
      </c>
      <c r="E2084" s="136"/>
      <c r="F2084" s="12" t="s">
        <v>2674</v>
      </c>
      <c r="G2084" s="137"/>
      <c r="H2084" s="67"/>
      <c r="I2084" s="71"/>
      <c r="J2084" s="72">
        <v>875</v>
      </c>
      <c r="K2084" s="88" t="s">
        <v>4954</v>
      </c>
      <c r="L2084" s="73"/>
      <c r="M2084" s="11" t="s">
        <v>3698</v>
      </c>
    </row>
    <row r="2085" spans="2:13" ht="15" customHeight="1" x14ac:dyDescent="0.25">
      <c r="B2085" s="45" t="s">
        <v>5076</v>
      </c>
      <c r="C2085" s="120">
        <v>45980</v>
      </c>
      <c r="D2085" s="12" t="s">
        <v>5077</v>
      </c>
      <c r="E2085" s="136"/>
      <c r="F2085" s="12" t="s">
        <v>5078</v>
      </c>
      <c r="G2085" s="137"/>
      <c r="H2085" s="67"/>
      <c r="I2085" s="71"/>
      <c r="J2085" s="72">
        <v>2225</v>
      </c>
      <c r="K2085" s="88" t="s">
        <v>17</v>
      </c>
      <c r="L2085" s="73"/>
      <c r="M2085" s="11" t="s">
        <v>3698</v>
      </c>
    </row>
    <row r="2086" spans="2:13" ht="15" customHeight="1" x14ac:dyDescent="0.25">
      <c r="B2086" s="45" t="s">
        <v>5079</v>
      </c>
      <c r="C2086" s="120">
        <v>45981</v>
      </c>
      <c r="D2086" s="12" t="s">
        <v>4679</v>
      </c>
      <c r="E2086" s="136"/>
      <c r="F2086" s="12" t="s">
        <v>5080</v>
      </c>
      <c r="G2086" s="137"/>
      <c r="H2086" s="67"/>
      <c r="I2086" s="71"/>
      <c r="J2086" s="72">
        <v>5500</v>
      </c>
      <c r="K2086" s="88" t="s">
        <v>4954</v>
      </c>
      <c r="L2086" s="73"/>
      <c r="M2086" s="11" t="s">
        <v>3698</v>
      </c>
    </row>
    <row r="2087" spans="2:13" ht="15" customHeight="1" x14ac:dyDescent="0.25">
      <c r="B2087" s="45" t="s">
        <v>5081</v>
      </c>
      <c r="C2087" s="120">
        <v>45981</v>
      </c>
      <c r="D2087" t="s">
        <v>2584</v>
      </c>
      <c r="E2087" s="136"/>
      <c r="F2087" t="s">
        <v>5082</v>
      </c>
      <c r="G2087" s="137"/>
      <c r="H2087" s="67"/>
      <c r="I2087" s="71"/>
      <c r="J2087" s="72">
        <v>2860</v>
      </c>
      <c r="K2087" s="88" t="s">
        <v>3625</v>
      </c>
      <c r="L2087" s="73"/>
      <c r="M2087" s="11" t="s">
        <v>18</v>
      </c>
    </row>
    <row r="2088" spans="2:13" ht="15" customHeight="1" x14ac:dyDescent="0.25">
      <c r="B2088" s="45" t="s">
        <v>5083</v>
      </c>
      <c r="C2088" s="120">
        <v>45981</v>
      </c>
      <c r="D2088" s="12" t="s">
        <v>5084</v>
      </c>
      <c r="E2088" s="136"/>
      <c r="F2088" s="12" t="s">
        <v>5085</v>
      </c>
      <c r="G2088" s="137"/>
      <c r="H2088" s="67"/>
      <c r="I2088" s="71"/>
      <c r="J2088" s="72">
        <v>190</v>
      </c>
      <c r="K2088" s="88" t="s">
        <v>4954</v>
      </c>
      <c r="L2088" s="73"/>
      <c r="M2088" s="11" t="s">
        <v>31</v>
      </c>
    </row>
    <row r="2089" spans="2:13" ht="15" customHeight="1" x14ac:dyDescent="0.25">
      <c r="B2089" s="45" t="s">
        <v>5086</v>
      </c>
      <c r="C2089" s="120">
        <v>45988</v>
      </c>
      <c r="D2089" s="12" t="s">
        <v>5087</v>
      </c>
      <c r="E2089" s="136"/>
      <c r="F2089" s="12" t="s">
        <v>780</v>
      </c>
      <c r="G2089" s="137"/>
      <c r="H2089" s="67"/>
      <c r="I2089" s="71"/>
      <c r="J2089" s="72">
        <v>2510</v>
      </c>
      <c r="K2089" s="88" t="s">
        <v>17</v>
      </c>
      <c r="L2089" s="73"/>
      <c r="M2089" s="11" t="s">
        <v>31</v>
      </c>
    </row>
    <row r="2090" spans="2:13" ht="15" customHeight="1" x14ac:dyDescent="0.25">
      <c r="B2090" s="45" t="s">
        <v>5088</v>
      </c>
      <c r="C2090" s="120">
        <v>45981</v>
      </c>
      <c r="D2090" s="12" t="s">
        <v>1907</v>
      </c>
      <c r="E2090" s="136"/>
      <c r="F2090" s="12" t="s">
        <v>5089</v>
      </c>
      <c r="G2090" s="137"/>
      <c r="H2090" s="67"/>
      <c r="I2090" s="71"/>
      <c r="J2090" s="72">
        <v>285</v>
      </c>
      <c r="K2090" s="88" t="s">
        <v>17</v>
      </c>
      <c r="L2090" s="73"/>
      <c r="M2090" s="11" t="s">
        <v>31</v>
      </c>
    </row>
    <row r="2091" spans="2:13" ht="15" customHeight="1" x14ac:dyDescent="0.25">
      <c r="B2091" s="45" t="s">
        <v>5090</v>
      </c>
      <c r="C2091" s="120">
        <v>45982</v>
      </c>
      <c r="D2091" s="12" t="s">
        <v>5091</v>
      </c>
      <c r="E2091" s="136"/>
      <c r="F2091" s="12" t="s">
        <v>2605</v>
      </c>
      <c r="G2091" s="137"/>
      <c r="H2091" s="67"/>
      <c r="I2091" s="71"/>
      <c r="J2091" s="72">
        <v>333.34</v>
      </c>
      <c r="K2091" s="88" t="s">
        <v>3261</v>
      </c>
      <c r="L2091" s="73"/>
      <c r="M2091" s="11" t="s">
        <v>31</v>
      </c>
    </row>
    <row r="2092" spans="2:13" ht="15" customHeight="1" x14ac:dyDescent="0.25">
      <c r="B2092" s="45" t="s">
        <v>5092</v>
      </c>
      <c r="C2092" s="120">
        <v>45982</v>
      </c>
      <c r="D2092" s="12" t="s">
        <v>5093</v>
      </c>
      <c r="E2092" s="136"/>
      <c r="F2092" t="s">
        <v>5094</v>
      </c>
      <c r="G2092" s="137"/>
      <c r="H2092" s="67"/>
      <c r="I2092" s="71"/>
      <c r="J2092" s="72">
        <v>1475</v>
      </c>
      <c r="K2092" s="88" t="s">
        <v>4954</v>
      </c>
      <c r="L2092" s="73"/>
      <c r="M2092" s="11" t="s">
        <v>3698</v>
      </c>
    </row>
    <row r="2093" spans="2:13" ht="15" customHeight="1" x14ac:dyDescent="0.25">
      <c r="B2093" s="45" t="s">
        <v>5095</v>
      </c>
      <c r="C2093" s="120">
        <v>45982</v>
      </c>
      <c r="D2093" s="12" t="s">
        <v>1060</v>
      </c>
      <c r="E2093" s="136"/>
      <c r="F2093" s="12" t="s">
        <v>5096</v>
      </c>
      <c r="G2093" s="137"/>
      <c r="H2093" s="67"/>
      <c r="I2093" s="71"/>
      <c r="J2093" s="72">
        <v>3484.25</v>
      </c>
      <c r="K2093" s="88" t="s">
        <v>17</v>
      </c>
      <c r="L2093" s="73"/>
      <c r="M2093" s="11" t="s">
        <v>31</v>
      </c>
    </row>
    <row r="2094" spans="2:13" ht="15" customHeight="1" x14ac:dyDescent="0.25">
      <c r="B2094" s="45" t="s">
        <v>5097</v>
      </c>
      <c r="C2094" s="120">
        <v>45982</v>
      </c>
      <c r="D2094" s="12" t="s">
        <v>5098</v>
      </c>
      <c r="E2094" s="136"/>
      <c r="F2094" s="12" t="s">
        <v>5099</v>
      </c>
      <c r="G2094" s="137"/>
      <c r="H2094" s="67"/>
      <c r="I2094" s="71"/>
      <c r="J2094" s="72">
        <v>753.53</v>
      </c>
      <c r="K2094" s="88" t="s">
        <v>4954</v>
      </c>
      <c r="L2094" s="73"/>
      <c r="M2094" s="11" t="s">
        <v>3698</v>
      </c>
    </row>
    <row r="2095" spans="2:13" ht="15" customHeight="1" x14ac:dyDescent="0.25">
      <c r="B2095" s="45" t="s">
        <v>5100</v>
      </c>
      <c r="C2095" s="120">
        <v>45982</v>
      </c>
      <c r="D2095" s="12" t="s">
        <v>5058</v>
      </c>
      <c r="E2095" s="136"/>
      <c r="F2095" s="12" t="s">
        <v>5101</v>
      </c>
      <c r="G2095" s="137"/>
      <c r="H2095" s="67"/>
      <c r="I2095" s="71"/>
      <c r="J2095" s="72">
        <v>1750</v>
      </c>
      <c r="K2095" s="88" t="s">
        <v>1874</v>
      </c>
      <c r="L2095" s="73"/>
      <c r="M2095" s="11" t="s">
        <v>3698</v>
      </c>
    </row>
    <row r="2096" spans="2:13" ht="15" customHeight="1" x14ac:dyDescent="0.25">
      <c r="B2096" s="45" t="s">
        <v>5102</v>
      </c>
      <c r="C2096" s="120">
        <v>45985</v>
      </c>
      <c r="D2096" s="12" t="s">
        <v>211</v>
      </c>
      <c r="E2096" s="136"/>
      <c r="F2096" s="12" t="s">
        <v>5103</v>
      </c>
      <c r="G2096" s="137"/>
      <c r="H2096" s="67"/>
      <c r="I2096" s="71"/>
      <c r="J2096" s="72">
        <v>175</v>
      </c>
      <c r="K2096" s="88" t="s">
        <v>17</v>
      </c>
      <c r="L2096" s="73"/>
      <c r="M2096" s="11" t="s">
        <v>31</v>
      </c>
    </row>
    <row r="2097" spans="2:13" ht="15" customHeight="1" x14ac:dyDescent="0.25">
      <c r="B2097" s="45" t="s">
        <v>5104</v>
      </c>
      <c r="C2097" s="120">
        <v>45985</v>
      </c>
      <c r="D2097" s="12" t="s">
        <v>5105</v>
      </c>
      <c r="E2097" s="136"/>
      <c r="F2097" s="12" t="s">
        <v>5106</v>
      </c>
      <c r="G2097" s="137"/>
      <c r="H2097" s="67"/>
      <c r="I2097" s="71"/>
      <c r="J2097" s="72">
        <v>885</v>
      </c>
      <c r="K2097" s="88" t="s">
        <v>17</v>
      </c>
      <c r="L2097" s="73"/>
      <c r="M2097" s="11" t="s">
        <v>3698</v>
      </c>
    </row>
    <row r="2098" spans="2:13" ht="15" customHeight="1" x14ac:dyDescent="0.25">
      <c r="B2098" s="45" t="s">
        <v>5107</v>
      </c>
      <c r="C2098" s="120">
        <v>45985</v>
      </c>
      <c r="D2098" s="12" t="s">
        <v>1060</v>
      </c>
      <c r="E2098" s="136"/>
      <c r="F2098" s="12" t="s">
        <v>197</v>
      </c>
      <c r="G2098" s="137"/>
      <c r="H2098" s="67"/>
      <c r="I2098" s="71"/>
      <c r="J2098" s="72">
        <v>95</v>
      </c>
      <c r="K2098" s="88" t="s">
        <v>17</v>
      </c>
      <c r="L2098" s="73"/>
      <c r="M2098" s="11" t="s">
        <v>31</v>
      </c>
    </row>
    <row r="2099" spans="2:13" ht="15" customHeight="1" x14ac:dyDescent="0.25">
      <c r="B2099" s="45" t="s">
        <v>5108</v>
      </c>
      <c r="C2099" s="120">
        <v>45985</v>
      </c>
      <c r="D2099" s="12" t="s">
        <v>241</v>
      </c>
      <c r="E2099" s="136"/>
      <c r="F2099" s="98" t="s">
        <v>5109</v>
      </c>
      <c r="G2099" s="137"/>
      <c r="H2099" s="67"/>
      <c r="I2099" s="71"/>
      <c r="J2099" s="72">
        <v>470</v>
      </c>
      <c r="K2099" s="88" t="s">
        <v>17</v>
      </c>
      <c r="L2099" s="73"/>
      <c r="M2099" s="11" t="s">
        <v>31</v>
      </c>
    </row>
    <row r="2100" spans="2:13" ht="15" customHeight="1" x14ac:dyDescent="0.25">
      <c r="B2100" s="45" t="s">
        <v>5110</v>
      </c>
      <c r="C2100" s="120">
        <v>45985</v>
      </c>
      <c r="D2100" s="12" t="s">
        <v>3634</v>
      </c>
      <c r="E2100" s="136"/>
      <c r="F2100" s="12" t="s">
        <v>5111</v>
      </c>
      <c r="G2100" s="137"/>
      <c r="H2100" s="67"/>
      <c r="I2100" s="71"/>
      <c r="J2100" s="72">
        <v>405</v>
      </c>
      <c r="K2100" s="88" t="s">
        <v>17</v>
      </c>
      <c r="L2100" s="73"/>
      <c r="M2100" s="11" t="s">
        <v>3698</v>
      </c>
    </row>
    <row r="2101" spans="2:13" ht="15" customHeight="1" x14ac:dyDescent="0.25">
      <c r="B2101" s="45" t="s">
        <v>5112</v>
      </c>
      <c r="C2101" s="120">
        <v>45985</v>
      </c>
      <c r="D2101" s="12" t="s">
        <v>211</v>
      </c>
      <c r="E2101" s="136"/>
      <c r="F2101" s="12" t="s">
        <v>5113</v>
      </c>
      <c r="G2101" s="137"/>
      <c r="H2101" s="67"/>
      <c r="I2101" s="71"/>
      <c r="J2101" s="72">
        <v>300</v>
      </c>
      <c r="K2101" s="88" t="s">
        <v>17</v>
      </c>
      <c r="L2101" s="73"/>
      <c r="M2101" s="11" t="s">
        <v>31</v>
      </c>
    </row>
    <row r="2102" spans="2:13" ht="15" customHeight="1" x14ac:dyDescent="0.25">
      <c r="B2102" s="45" t="s">
        <v>5114</v>
      </c>
      <c r="C2102" s="120">
        <v>45985</v>
      </c>
      <c r="D2102" s="12" t="s">
        <v>211</v>
      </c>
      <c r="E2102" s="136"/>
      <c r="F2102" s="12" t="s">
        <v>5115</v>
      </c>
      <c r="G2102" s="137"/>
      <c r="H2102" s="67"/>
      <c r="I2102" s="71"/>
      <c r="J2102" s="72">
        <v>235</v>
      </c>
      <c r="K2102" s="88" t="s">
        <v>17</v>
      </c>
      <c r="L2102" s="73"/>
      <c r="M2102" s="11" t="s">
        <v>31</v>
      </c>
    </row>
    <row r="2103" spans="2:13" ht="15" customHeight="1" x14ac:dyDescent="0.25">
      <c r="B2103" s="45" t="s">
        <v>5116</v>
      </c>
      <c r="C2103" s="120">
        <v>45985</v>
      </c>
      <c r="D2103" s="12" t="s">
        <v>5117</v>
      </c>
      <c r="E2103" s="136"/>
      <c r="F2103" s="12" t="s">
        <v>5118</v>
      </c>
      <c r="G2103" s="137"/>
      <c r="H2103" s="67"/>
      <c r="I2103" s="71"/>
      <c r="J2103" s="72">
        <v>777</v>
      </c>
      <c r="K2103" s="88" t="s">
        <v>17</v>
      </c>
      <c r="L2103" s="73"/>
      <c r="M2103" s="11" t="s">
        <v>3698</v>
      </c>
    </row>
    <row r="2104" spans="2:13" ht="15" customHeight="1" x14ac:dyDescent="0.25">
      <c r="B2104" s="45" t="s">
        <v>5119</v>
      </c>
      <c r="C2104" s="120">
        <v>45985</v>
      </c>
      <c r="D2104" s="12" t="s">
        <v>65</v>
      </c>
      <c r="E2104" s="136"/>
      <c r="F2104" s="12" t="s">
        <v>5120</v>
      </c>
      <c r="G2104" s="137"/>
      <c r="H2104" s="67"/>
      <c r="I2104" s="71"/>
      <c r="J2104" s="72">
        <v>3265</v>
      </c>
      <c r="K2104" s="88" t="s">
        <v>17</v>
      </c>
      <c r="L2104" s="73"/>
      <c r="M2104" s="11" t="s">
        <v>3698</v>
      </c>
    </row>
    <row r="2105" spans="2:13" ht="15" customHeight="1" x14ac:dyDescent="0.25">
      <c r="B2105" s="45" t="s">
        <v>5121</v>
      </c>
      <c r="C2105" s="120">
        <v>45986</v>
      </c>
      <c r="D2105" s="12" t="s">
        <v>211</v>
      </c>
      <c r="E2105" s="136"/>
      <c r="F2105" s="12" t="s">
        <v>5122</v>
      </c>
      <c r="G2105" s="137"/>
      <c r="H2105" s="67"/>
      <c r="I2105" s="71"/>
      <c r="J2105" s="72">
        <v>160</v>
      </c>
      <c r="K2105" s="88" t="s">
        <v>17</v>
      </c>
      <c r="L2105" s="73"/>
      <c r="M2105" s="11" t="s">
        <v>31</v>
      </c>
    </row>
    <row r="2106" spans="2:13" ht="15" customHeight="1" x14ac:dyDescent="0.25">
      <c r="B2106" s="45" t="s">
        <v>5123</v>
      </c>
      <c r="C2106" s="120">
        <v>45986</v>
      </c>
      <c r="D2106" s="12" t="s">
        <v>241</v>
      </c>
      <c r="E2106" s="136"/>
      <c r="F2106" s="12" t="s">
        <v>1421</v>
      </c>
      <c r="G2106" s="137"/>
      <c r="H2106" s="67"/>
      <c r="I2106" s="71"/>
      <c r="J2106" s="72">
        <v>1250</v>
      </c>
      <c r="K2106" s="88" t="s">
        <v>17</v>
      </c>
      <c r="L2106" s="73"/>
      <c r="M2106" s="11" t="s">
        <v>3698</v>
      </c>
    </row>
    <row r="2107" spans="2:13" ht="15" customHeight="1" x14ac:dyDescent="0.25">
      <c r="B2107" s="45" t="s">
        <v>5124</v>
      </c>
      <c r="C2107" s="120">
        <v>45986</v>
      </c>
      <c r="D2107" s="12" t="s">
        <v>5125</v>
      </c>
      <c r="E2107" s="136"/>
      <c r="F2107" s="12" t="s">
        <v>5126</v>
      </c>
      <c r="G2107" s="137"/>
      <c r="H2107" s="67"/>
      <c r="I2107" s="71"/>
      <c r="J2107" s="72">
        <v>145</v>
      </c>
      <c r="K2107" s="88" t="s">
        <v>1874</v>
      </c>
      <c r="L2107" s="73"/>
      <c r="M2107" s="11" t="s">
        <v>3698</v>
      </c>
    </row>
    <row r="2108" spans="2:13" ht="15" customHeight="1" x14ac:dyDescent="0.25">
      <c r="B2108" s="45" t="s">
        <v>5127</v>
      </c>
      <c r="C2108" s="120">
        <v>45986</v>
      </c>
      <c r="D2108" s="12" t="s">
        <v>5117</v>
      </c>
      <c r="E2108" s="136"/>
      <c r="F2108" s="12" t="s">
        <v>5128</v>
      </c>
      <c r="G2108" s="137"/>
      <c r="H2108" s="67"/>
      <c r="I2108" s="71"/>
      <c r="J2108" s="72">
        <v>100</v>
      </c>
      <c r="K2108" s="88" t="s">
        <v>17</v>
      </c>
      <c r="L2108" s="73"/>
      <c r="M2108" s="11" t="s">
        <v>3698</v>
      </c>
    </row>
    <row r="2109" spans="2:13" ht="15" customHeight="1" x14ac:dyDescent="0.25">
      <c r="B2109" s="45" t="s">
        <v>5129</v>
      </c>
      <c r="C2109" s="120">
        <v>45987</v>
      </c>
      <c r="D2109" s="12" t="s">
        <v>3440</v>
      </c>
      <c r="E2109" s="136"/>
      <c r="F2109" s="12" t="s">
        <v>5130</v>
      </c>
      <c r="G2109" s="137"/>
      <c r="H2109" s="67"/>
      <c r="I2109" s="71"/>
      <c r="J2109" s="72">
        <v>3150</v>
      </c>
      <c r="K2109" s="88" t="s">
        <v>17</v>
      </c>
      <c r="L2109" s="73"/>
      <c r="M2109" s="11" t="s">
        <v>3698</v>
      </c>
    </row>
    <row r="2110" spans="2:13" ht="15" customHeight="1" x14ac:dyDescent="0.25">
      <c r="B2110" s="45" t="s">
        <v>5131</v>
      </c>
      <c r="C2110" s="120">
        <v>45986</v>
      </c>
      <c r="D2110" s="12" t="s">
        <v>5132</v>
      </c>
      <c r="E2110" s="136"/>
      <c r="F2110" s="12" t="s">
        <v>5133</v>
      </c>
      <c r="G2110" s="137"/>
      <c r="H2110" s="67"/>
      <c r="I2110" s="71"/>
      <c r="J2110" s="72">
        <v>7650</v>
      </c>
      <c r="K2110" s="88" t="s">
        <v>17</v>
      </c>
      <c r="L2110" s="73"/>
      <c r="M2110" s="11" t="s">
        <v>3698</v>
      </c>
    </row>
    <row r="2111" spans="2:13" ht="15" customHeight="1" x14ac:dyDescent="0.25">
      <c r="B2111" s="45" t="s">
        <v>5134</v>
      </c>
      <c r="C2111" s="120">
        <v>45986</v>
      </c>
      <c r="D2111" s="12" t="s">
        <v>27</v>
      </c>
      <c r="E2111" s="136"/>
      <c r="F2111" s="12" t="s">
        <v>5135</v>
      </c>
      <c r="G2111" s="137"/>
      <c r="H2111" s="67"/>
      <c r="I2111" s="71"/>
      <c r="J2111" s="72">
        <v>250</v>
      </c>
      <c r="K2111" s="88" t="s">
        <v>17</v>
      </c>
      <c r="L2111" s="73"/>
      <c r="M2111" s="11" t="s">
        <v>31</v>
      </c>
    </row>
    <row r="2112" spans="2:13" ht="15" customHeight="1" x14ac:dyDescent="0.25">
      <c r="B2112" s="45" t="s">
        <v>5136</v>
      </c>
      <c r="C2112" s="120">
        <v>45987</v>
      </c>
      <c r="D2112" s="12" t="s">
        <v>211</v>
      </c>
      <c r="E2112" s="136"/>
      <c r="F2112" s="12" t="s">
        <v>5137</v>
      </c>
      <c r="G2112" s="137"/>
      <c r="H2112" s="67"/>
      <c r="I2112" s="71"/>
      <c r="J2112" s="72">
        <v>160</v>
      </c>
      <c r="K2112" s="88" t="s">
        <v>17</v>
      </c>
      <c r="L2112" s="73"/>
      <c r="M2112" s="11" t="s">
        <v>31</v>
      </c>
    </row>
    <row r="2113" spans="2:13" ht="15" customHeight="1" x14ac:dyDescent="0.25">
      <c r="B2113" s="45" t="s">
        <v>5138</v>
      </c>
      <c r="C2113" s="120">
        <v>45987</v>
      </c>
      <c r="D2113" s="102" t="s">
        <v>211</v>
      </c>
      <c r="E2113" s="136"/>
      <c r="F2113" t="s">
        <v>5139</v>
      </c>
      <c r="G2113" s="137"/>
      <c r="H2113" s="67"/>
      <c r="I2113" s="71"/>
      <c r="J2113" s="72">
        <v>160</v>
      </c>
      <c r="K2113" s="88" t="s">
        <v>17</v>
      </c>
      <c r="L2113" s="73"/>
      <c r="M2113" s="11" t="s">
        <v>3698</v>
      </c>
    </row>
    <row r="2114" spans="2:13" ht="15" customHeight="1" x14ac:dyDescent="0.25">
      <c r="B2114" s="45" t="s">
        <v>5140</v>
      </c>
      <c r="C2114" s="120">
        <v>45987</v>
      </c>
      <c r="D2114" s="12" t="s">
        <v>1060</v>
      </c>
      <c r="E2114" s="136"/>
      <c r="F2114" s="12" t="s">
        <v>780</v>
      </c>
      <c r="G2114" s="137"/>
      <c r="H2114" s="67"/>
      <c r="I2114" s="71"/>
      <c r="J2114" s="72">
        <v>475</v>
      </c>
      <c r="K2114" s="88" t="s">
        <v>17</v>
      </c>
      <c r="L2114" s="73"/>
      <c r="M2114" s="11" t="s">
        <v>31</v>
      </c>
    </row>
    <row r="2115" spans="2:13" ht="15" customHeight="1" x14ac:dyDescent="0.25">
      <c r="B2115" s="45" t="s">
        <v>5141</v>
      </c>
      <c r="C2115" s="120">
        <v>45987</v>
      </c>
      <c r="D2115" s="102" t="s">
        <v>3723</v>
      </c>
      <c r="E2115" s="136"/>
      <c r="F2115" s="102" t="s">
        <v>5142</v>
      </c>
      <c r="G2115" s="137"/>
      <c r="H2115" s="67"/>
      <c r="I2115" s="71"/>
      <c r="J2115" s="72">
        <v>1240</v>
      </c>
      <c r="K2115" s="88" t="s">
        <v>17</v>
      </c>
      <c r="L2115" s="73"/>
      <c r="M2115" s="11" t="s">
        <v>31</v>
      </c>
    </row>
    <row r="2116" spans="2:13" ht="15" customHeight="1" x14ac:dyDescent="0.25">
      <c r="B2116" s="45" t="s">
        <v>5143</v>
      </c>
      <c r="C2116" s="120">
        <v>45987</v>
      </c>
      <c r="D2116" s="12" t="s">
        <v>5144</v>
      </c>
      <c r="E2116" s="136"/>
      <c r="F2116" s="12" t="s">
        <v>5145</v>
      </c>
      <c r="G2116" s="137"/>
      <c r="H2116" s="67"/>
      <c r="I2116" s="71"/>
      <c r="J2116" s="72">
        <v>1342.5</v>
      </c>
      <c r="K2116" s="88" t="s">
        <v>1874</v>
      </c>
      <c r="L2116" s="73"/>
      <c r="M2116" s="11" t="s">
        <v>3698</v>
      </c>
    </row>
    <row r="2117" spans="2:13" ht="15" customHeight="1" x14ac:dyDescent="0.25">
      <c r="B2117" s="45" t="s">
        <v>5146</v>
      </c>
      <c r="C2117" s="120">
        <v>45987</v>
      </c>
      <c r="D2117" s="12" t="s">
        <v>4962</v>
      </c>
      <c r="E2117" s="136"/>
      <c r="F2117" s="12" t="s">
        <v>3258</v>
      </c>
      <c r="G2117" s="137"/>
      <c r="H2117" s="67"/>
      <c r="I2117" s="71"/>
      <c r="J2117" s="72">
        <v>620</v>
      </c>
      <c r="K2117" s="88" t="s">
        <v>1874</v>
      </c>
      <c r="L2117" s="73"/>
      <c r="M2117" s="11" t="s">
        <v>3698</v>
      </c>
    </row>
    <row r="2118" spans="2:13" ht="15" customHeight="1" x14ac:dyDescent="0.25">
      <c r="B2118" s="45" t="s">
        <v>5147</v>
      </c>
      <c r="C2118" s="120">
        <v>45987</v>
      </c>
      <c r="D2118" s="12" t="s">
        <v>5148</v>
      </c>
      <c r="E2118" s="136"/>
      <c r="F2118" s="12" t="s">
        <v>3258</v>
      </c>
      <c r="G2118" s="137"/>
      <c r="H2118" s="67"/>
      <c r="I2118" s="71"/>
      <c r="J2118" s="72">
        <v>37000</v>
      </c>
      <c r="K2118" s="88" t="s">
        <v>17</v>
      </c>
      <c r="L2118" s="73"/>
      <c r="M2118" s="11" t="s">
        <v>3698</v>
      </c>
    </row>
    <row r="2119" spans="2:13" ht="15" customHeight="1" x14ac:dyDescent="0.25">
      <c r="B2119" s="45" t="s">
        <v>5149</v>
      </c>
      <c r="C2119" s="120">
        <v>45988</v>
      </c>
      <c r="D2119" s="12" t="s">
        <v>639</v>
      </c>
      <c r="E2119" s="136"/>
      <c r="F2119" s="12" t="s">
        <v>5150</v>
      </c>
      <c r="G2119" s="137"/>
      <c r="H2119" s="67"/>
      <c r="I2119" s="71"/>
      <c r="J2119" s="72">
        <v>690</v>
      </c>
      <c r="K2119" s="88" t="s">
        <v>17</v>
      </c>
      <c r="L2119" s="73"/>
      <c r="M2119" s="11" t="s">
        <v>3698</v>
      </c>
    </row>
    <row r="2120" spans="2:13" ht="15" customHeight="1" x14ac:dyDescent="0.25">
      <c r="B2120" s="45" t="s">
        <v>5151</v>
      </c>
      <c r="C2120" s="120">
        <v>45988</v>
      </c>
      <c r="D2120" t="s">
        <v>5152</v>
      </c>
      <c r="E2120" s="136"/>
      <c r="F2120" t="s">
        <v>5153</v>
      </c>
      <c r="G2120" s="137"/>
      <c r="H2120" s="67"/>
      <c r="I2120" s="71"/>
      <c r="J2120" s="72">
        <v>1155</v>
      </c>
      <c r="K2120" s="88" t="s">
        <v>17</v>
      </c>
      <c r="L2120" s="73"/>
      <c r="M2120" s="11" t="s">
        <v>18</v>
      </c>
    </row>
    <row r="2121" spans="2:13" ht="15" customHeight="1" x14ac:dyDescent="0.25">
      <c r="B2121" s="45" t="s">
        <v>5154</v>
      </c>
      <c r="C2121" s="120">
        <v>45988</v>
      </c>
      <c r="D2121" s="12" t="s">
        <v>3802</v>
      </c>
      <c r="E2121" s="136"/>
      <c r="F2121" s="12" t="s">
        <v>5155</v>
      </c>
      <c r="G2121" s="137"/>
      <c r="H2121" s="67"/>
      <c r="I2121" s="71"/>
      <c r="J2121" s="72">
        <v>1850</v>
      </c>
      <c r="K2121" s="88" t="s">
        <v>17</v>
      </c>
      <c r="L2121" s="73"/>
      <c r="M2121" s="11" t="s">
        <v>3698</v>
      </c>
    </row>
    <row r="2122" spans="2:13" ht="15" customHeight="1" x14ac:dyDescent="0.25">
      <c r="B2122" s="45" t="s">
        <v>5156</v>
      </c>
      <c r="C2122" s="120">
        <v>45988</v>
      </c>
      <c r="D2122" s="12" t="s">
        <v>429</v>
      </c>
      <c r="E2122" s="136"/>
      <c r="F2122" s="12" t="s">
        <v>1323</v>
      </c>
      <c r="G2122" s="137"/>
      <c r="H2122" s="67"/>
      <c r="I2122" s="71"/>
      <c r="J2122" s="72">
        <v>1950</v>
      </c>
      <c r="K2122" s="88" t="s">
        <v>17</v>
      </c>
      <c r="L2122" s="73"/>
      <c r="M2122" s="11" t="s">
        <v>3698</v>
      </c>
    </row>
    <row r="2123" spans="2:13" ht="15" customHeight="1" x14ac:dyDescent="0.25">
      <c r="B2123" s="45" t="s">
        <v>5157</v>
      </c>
      <c r="C2123" s="120">
        <v>45989</v>
      </c>
      <c r="D2123" s="12" t="s">
        <v>5158</v>
      </c>
      <c r="E2123" s="136"/>
      <c r="F2123" s="12" t="s">
        <v>2556</v>
      </c>
      <c r="G2123" s="137"/>
      <c r="H2123" s="67"/>
      <c r="I2123" s="71"/>
      <c r="J2123" s="72">
        <v>620</v>
      </c>
      <c r="K2123" s="88" t="s">
        <v>17</v>
      </c>
      <c r="L2123" s="73"/>
      <c r="M2123" s="11" t="s">
        <v>3698</v>
      </c>
    </row>
    <row r="2124" spans="2:13" x14ac:dyDescent="0.25">
      <c r="B2124" s="45" t="s">
        <v>5159</v>
      </c>
      <c r="C2124" s="120">
        <v>45989</v>
      </c>
      <c r="D2124" s="12" t="s">
        <v>4841</v>
      </c>
      <c r="E2124" s="136"/>
      <c r="F2124" s="12" t="s">
        <v>5160</v>
      </c>
      <c r="G2124" s="137"/>
      <c r="H2124" s="67"/>
      <c r="I2124" s="71"/>
      <c r="J2124" s="72">
        <v>4620</v>
      </c>
      <c r="K2124" s="88" t="s">
        <v>17</v>
      </c>
      <c r="L2124" s="73"/>
      <c r="M2124" s="11" t="s">
        <v>3698</v>
      </c>
    </row>
    <row r="2125" spans="2:13" x14ac:dyDescent="0.25">
      <c r="B2125" s="45" t="s">
        <v>5161</v>
      </c>
      <c r="C2125" s="120">
        <v>45989</v>
      </c>
      <c r="D2125" t="s">
        <v>241</v>
      </c>
      <c r="E2125" s="136"/>
      <c r="F2125" t="s">
        <v>5162</v>
      </c>
      <c r="G2125" s="137"/>
      <c r="H2125" s="67"/>
      <c r="I2125" s="71"/>
      <c r="J2125" s="72">
        <v>405</v>
      </c>
      <c r="K2125" s="88" t="s">
        <v>17</v>
      </c>
      <c r="L2125" s="73"/>
      <c r="M2125" s="11" t="s">
        <v>31</v>
      </c>
    </row>
    <row r="2126" spans="2:13" ht="15" customHeight="1" x14ac:dyDescent="0.25">
      <c r="B2126" s="45" t="s">
        <v>5163</v>
      </c>
      <c r="C2126" s="120">
        <v>45989</v>
      </c>
      <c r="D2126" s="12" t="s">
        <v>1060</v>
      </c>
      <c r="E2126" s="136"/>
      <c r="F2126" s="12" t="s">
        <v>5164</v>
      </c>
      <c r="G2126" s="137"/>
      <c r="H2126" s="67"/>
      <c r="I2126" s="71"/>
      <c r="J2126" s="72">
        <v>172</v>
      </c>
      <c r="K2126" s="88" t="s">
        <v>17</v>
      </c>
      <c r="L2126" s="73"/>
      <c r="M2126" s="11" t="s">
        <v>31</v>
      </c>
    </row>
    <row r="2127" spans="2:13" ht="15" customHeight="1" x14ac:dyDescent="0.25">
      <c r="B2127" s="45" t="s">
        <v>5165</v>
      </c>
      <c r="C2127" s="120">
        <v>45994</v>
      </c>
      <c r="D2127" s="12" t="s">
        <v>211</v>
      </c>
      <c r="E2127" s="136"/>
      <c r="F2127" s="12" t="s">
        <v>5166</v>
      </c>
      <c r="G2127" s="137"/>
      <c r="H2127" s="67"/>
      <c r="I2127" s="71"/>
      <c r="J2127" s="72">
        <v>160</v>
      </c>
      <c r="K2127" s="88" t="s">
        <v>17</v>
      </c>
      <c r="L2127" s="73"/>
      <c r="M2127" s="11" t="s">
        <v>3698</v>
      </c>
    </row>
    <row r="2128" spans="2:13" ht="15" customHeight="1" x14ac:dyDescent="0.25">
      <c r="B2128" s="45" t="s">
        <v>5167</v>
      </c>
      <c r="C2128" s="120">
        <v>45995</v>
      </c>
      <c r="D2128" s="12" t="s">
        <v>5168</v>
      </c>
      <c r="E2128" s="136"/>
      <c r="F2128" s="12" t="s">
        <v>1072</v>
      </c>
      <c r="G2128" s="137"/>
      <c r="H2128" s="67"/>
      <c r="I2128" s="71"/>
      <c r="J2128" s="72">
        <v>1890</v>
      </c>
      <c r="K2128" s="88" t="s">
        <v>17</v>
      </c>
      <c r="L2128" s="73"/>
      <c r="M2128" s="11" t="s">
        <v>3698</v>
      </c>
    </row>
    <row r="2129" spans="2:13" ht="15" customHeight="1" x14ac:dyDescent="0.25">
      <c r="B2129" s="45" t="s">
        <v>5169</v>
      </c>
      <c r="C2129" s="120">
        <v>45994</v>
      </c>
      <c r="D2129" t="s">
        <v>5158</v>
      </c>
      <c r="E2129" s="136"/>
      <c r="F2129" t="s">
        <v>5170</v>
      </c>
      <c r="G2129" s="137"/>
      <c r="H2129" s="67"/>
      <c r="I2129" s="71"/>
      <c r="J2129" s="72">
        <v>980</v>
      </c>
      <c r="K2129" s="88" t="s">
        <v>17</v>
      </c>
      <c r="L2129" s="73"/>
      <c r="M2129" s="11" t="s">
        <v>31</v>
      </c>
    </row>
    <row r="2130" spans="2:13" ht="15" customHeight="1" x14ac:dyDescent="0.25">
      <c r="B2130" s="45" t="s">
        <v>5171</v>
      </c>
      <c r="C2130" s="120">
        <v>45994</v>
      </c>
      <c r="D2130" s="12" t="s">
        <v>241</v>
      </c>
      <c r="E2130" s="136"/>
      <c r="F2130" s="12" t="s">
        <v>5172</v>
      </c>
      <c r="G2130" s="137"/>
      <c r="H2130" s="67"/>
      <c r="I2130" s="71"/>
      <c r="J2130" s="72">
        <v>405</v>
      </c>
      <c r="K2130" s="88" t="s">
        <v>17</v>
      </c>
      <c r="L2130" s="73"/>
      <c r="M2130" s="11" t="s">
        <v>3698</v>
      </c>
    </row>
    <row r="2131" spans="2:13" ht="15" customHeight="1" x14ac:dyDescent="0.25">
      <c r="B2131" s="45" t="s">
        <v>5173</v>
      </c>
      <c r="C2131" s="120">
        <v>45994</v>
      </c>
      <c r="D2131" s="12" t="s">
        <v>5084</v>
      </c>
      <c r="E2131" s="136"/>
      <c r="F2131" s="12" t="s">
        <v>5174</v>
      </c>
      <c r="G2131" s="137"/>
      <c r="H2131" s="67"/>
      <c r="I2131" s="71"/>
      <c r="J2131" s="72">
        <v>310</v>
      </c>
      <c r="K2131" s="88" t="s">
        <v>461</v>
      </c>
      <c r="L2131" s="73"/>
      <c r="M2131" s="11" t="s">
        <v>3698</v>
      </c>
    </row>
    <row r="2132" spans="2:13" ht="15" customHeight="1" x14ac:dyDescent="0.25">
      <c r="B2132" s="45" t="s">
        <v>5175</v>
      </c>
      <c r="C2132" s="120">
        <v>45995</v>
      </c>
      <c r="D2132" s="12" t="s">
        <v>426</v>
      </c>
      <c r="E2132" s="136"/>
      <c r="F2132" s="12" t="s">
        <v>5176</v>
      </c>
      <c r="G2132" s="137"/>
      <c r="H2132" s="67"/>
      <c r="I2132" s="71"/>
      <c r="J2132" s="72">
        <v>550</v>
      </c>
      <c r="K2132" s="88" t="s">
        <v>17</v>
      </c>
      <c r="L2132" s="73"/>
      <c r="M2132" s="11" t="s">
        <v>3698</v>
      </c>
    </row>
    <row r="2133" spans="2:13" ht="15" customHeight="1" x14ac:dyDescent="0.25">
      <c r="B2133" s="45" t="s">
        <v>5177</v>
      </c>
      <c r="C2133" s="120">
        <v>45995</v>
      </c>
      <c r="D2133" s="12" t="s">
        <v>5178</v>
      </c>
      <c r="E2133" s="136"/>
      <c r="F2133" s="12" t="s">
        <v>5179</v>
      </c>
      <c r="G2133" s="137"/>
      <c r="H2133" s="67"/>
      <c r="I2133" s="71"/>
      <c r="J2133" s="72">
        <v>2400</v>
      </c>
      <c r="K2133" s="88" t="s">
        <v>461</v>
      </c>
      <c r="L2133" s="73"/>
      <c r="M2133" s="11" t="s">
        <v>3698</v>
      </c>
    </row>
    <row r="2134" spans="2:13" ht="15" customHeight="1" x14ac:dyDescent="0.25">
      <c r="B2134" s="45" t="s">
        <v>5180</v>
      </c>
      <c r="C2134" s="120">
        <v>45996</v>
      </c>
      <c r="D2134" s="12" t="s">
        <v>5181</v>
      </c>
      <c r="E2134" s="136"/>
      <c r="F2134" s="12" t="s">
        <v>5182</v>
      </c>
      <c r="G2134" s="137"/>
      <c r="H2134" s="67"/>
      <c r="I2134" s="71"/>
      <c r="J2134" s="72">
        <v>1650</v>
      </c>
      <c r="K2134" s="88" t="s">
        <v>1874</v>
      </c>
      <c r="L2134" s="73"/>
      <c r="M2134" s="11" t="s">
        <v>3698</v>
      </c>
    </row>
    <row r="2135" spans="2:13" ht="15" customHeight="1" x14ac:dyDescent="0.25">
      <c r="B2135" s="45" t="s">
        <v>5183</v>
      </c>
      <c r="C2135" s="120">
        <v>45995</v>
      </c>
      <c r="D2135" s="12" t="s">
        <v>5184</v>
      </c>
      <c r="E2135" s="136"/>
      <c r="F2135" s="12" t="s">
        <v>5185</v>
      </c>
      <c r="G2135" s="137"/>
      <c r="H2135" s="67"/>
      <c r="I2135" s="71"/>
      <c r="J2135" s="72">
        <v>1875</v>
      </c>
      <c r="K2135" s="88" t="s">
        <v>1874</v>
      </c>
      <c r="L2135" s="73"/>
      <c r="M2135" s="11" t="s">
        <v>3698</v>
      </c>
    </row>
    <row r="2136" spans="2:13" ht="15" customHeight="1" x14ac:dyDescent="0.25">
      <c r="B2136" s="45" t="s">
        <v>5186</v>
      </c>
      <c r="C2136" s="120">
        <v>45996</v>
      </c>
      <c r="D2136" s="12" t="s">
        <v>3646</v>
      </c>
      <c r="E2136" s="136"/>
      <c r="F2136" s="12" t="s">
        <v>5187</v>
      </c>
      <c r="G2136" s="137"/>
      <c r="H2136" s="67"/>
      <c r="I2136" s="71"/>
      <c r="J2136" s="72">
        <v>825</v>
      </c>
      <c r="K2136" s="88" t="s">
        <v>3625</v>
      </c>
      <c r="L2136" s="73"/>
      <c r="M2136" s="11" t="s">
        <v>3698</v>
      </c>
    </row>
    <row r="2137" spans="2:13" ht="15" customHeight="1" x14ac:dyDescent="0.25">
      <c r="B2137" s="45" t="s">
        <v>5188</v>
      </c>
      <c r="C2137" s="120">
        <v>45995</v>
      </c>
      <c r="D2137" s="12" t="s">
        <v>5189</v>
      </c>
      <c r="E2137" s="136"/>
      <c r="F2137" s="12" t="s">
        <v>468</v>
      </c>
      <c r="G2137" s="137"/>
      <c r="H2137" s="67"/>
      <c r="I2137" s="71"/>
      <c r="J2137" s="72">
        <v>365</v>
      </c>
      <c r="K2137" s="88" t="s">
        <v>1874</v>
      </c>
      <c r="L2137" s="73"/>
      <c r="M2137" s="11" t="s">
        <v>3698</v>
      </c>
    </row>
    <row r="2138" spans="2:13" ht="15" customHeight="1" x14ac:dyDescent="0.25">
      <c r="B2138" s="45" t="s">
        <v>5190</v>
      </c>
      <c r="C2138" s="120">
        <v>45995</v>
      </c>
      <c r="D2138" s="12" t="s">
        <v>3927</v>
      </c>
      <c r="E2138" s="136"/>
      <c r="F2138" s="12" t="s">
        <v>3826</v>
      </c>
      <c r="G2138" s="137"/>
      <c r="H2138" s="67"/>
      <c r="I2138" s="71"/>
      <c r="J2138" s="72">
        <v>2200</v>
      </c>
      <c r="K2138" s="88" t="s">
        <v>1874</v>
      </c>
      <c r="L2138" s="73"/>
      <c r="M2138" s="11" t="s">
        <v>3698</v>
      </c>
    </row>
    <row r="2139" spans="2:13" ht="15" customHeight="1" x14ac:dyDescent="0.25">
      <c r="B2139" s="45" t="s">
        <v>5191</v>
      </c>
      <c r="C2139" s="120">
        <v>45996</v>
      </c>
      <c r="D2139" s="12" t="s">
        <v>1034</v>
      </c>
      <c r="E2139" s="136"/>
      <c r="F2139" s="12" t="s">
        <v>5192</v>
      </c>
      <c r="G2139" s="137"/>
      <c r="H2139" s="67"/>
      <c r="I2139" s="71"/>
      <c r="J2139" s="72">
        <v>5250</v>
      </c>
      <c r="K2139" s="88" t="s">
        <v>17</v>
      </c>
      <c r="L2139" s="73"/>
      <c r="M2139" s="11" t="s">
        <v>3698</v>
      </c>
    </row>
    <row r="2140" spans="2:13" ht="15" customHeight="1" x14ac:dyDescent="0.25">
      <c r="B2140" s="45"/>
      <c r="C2140" s="120"/>
      <c r="D2140" s="12"/>
      <c r="E2140" s="136"/>
      <c r="F2140" s="12"/>
      <c r="G2140" s="137"/>
      <c r="H2140" s="67"/>
      <c r="I2140" s="71"/>
      <c r="J2140" s="72"/>
      <c r="K2140" s="88"/>
      <c r="L2140" s="73"/>
      <c r="M2140" s="11"/>
    </row>
    <row r="2141" spans="2:13" ht="15" customHeight="1" x14ac:dyDescent="0.25">
      <c r="B2141" s="45"/>
      <c r="C2141" s="120"/>
      <c r="D2141" s="12"/>
      <c r="E2141" s="136"/>
      <c r="F2141" s="12"/>
      <c r="G2141" s="137"/>
      <c r="H2141" s="67"/>
      <c r="I2141" s="71"/>
      <c r="J2141" s="72"/>
      <c r="K2141" s="88"/>
      <c r="L2141" s="73"/>
      <c r="M2141" s="11"/>
    </row>
    <row r="2142" spans="2:13" ht="15" customHeight="1" x14ac:dyDescent="0.25">
      <c r="B2142" s="45"/>
      <c r="C2142" s="120"/>
      <c r="D2142" s="12"/>
      <c r="E2142" s="136"/>
      <c r="F2142" s="12"/>
      <c r="G2142" s="137"/>
      <c r="H2142" s="67"/>
      <c r="I2142" s="71"/>
      <c r="J2142" s="72"/>
      <c r="K2142" s="88"/>
      <c r="L2142" s="73"/>
      <c r="M2142" s="11"/>
    </row>
    <row r="2143" spans="2:13" ht="15" customHeight="1" x14ac:dyDescent="0.25">
      <c r="B2143" s="45"/>
      <c r="C2143" s="120"/>
      <c r="D2143" s="10"/>
      <c r="E2143" s="136"/>
      <c r="F2143" s="12"/>
      <c r="G2143" s="137"/>
      <c r="H2143" s="67"/>
      <c r="I2143" s="71"/>
      <c r="J2143" s="72"/>
      <c r="K2143" s="88"/>
      <c r="L2143" s="73"/>
      <c r="M2143" s="11"/>
    </row>
    <row r="2144" spans="2:13" ht="15" customHeight="1" x14ac:dyDescent="0.25">
      <c r="B2144" s="67"/>
      <c r="C2144" s="120"/>
      <c r="D2144" s="12"/>
      <c r="E2144" s="136"/>
      <c r="F2144" s="12"/>
      <c r="G2144" s="163"/>
      <c r="H2144" s="67"/>
      <c r="I2144" s="71"/>
      <c r="J2144" s="164">
        <f>SUBTOTAL(9,J3:J2142)</f>
        <v>9780633.8699999936</v>
      </c>
      <c r="K2144" s="67"/>
      <c r="L2144" s="73"/>
      <c r="M2144" s="11"/>
    </row>
    <row r="2145" spans="2:48" ht="15" customHeight="1" x14ac:dyDescent="0.25">
      <c r="B2145" s="67"/>
      <c r="C2145" s="120"/>
      <c r="D2145" s="12"/>
      <c r="E2145" s="99"/>
      <c r="F2145" s="12"/>
      <c r="G2145" s="12"/>
      <c r="H2145" s="67"/>
      <c r="I2145" s="71"/>
      <c r="J2145" s="71"/>
      <c r="K2145" s="67"/>
      <c r="L2145" s="73"/>
      <c r="M2145" s="11"/>
    </row>
    <row r="2146" spans="2:48" ht="15" customHeight="1" x14ac:dyDescent="0.25">
      <c r="B2146" s="67"/>
      <c r="C2146" s="120"/>
      <c r="D2146" s="12"/>
      <c r="E2146" s="99"/>
      <c r="F2146" s="12"/>
      <c r="G2146" s="12"/>
      <c r="H2146" s="67"/>
      <c r="I2146" s="71"/>
      <c r="J2146" s="72"/>
      <c r="K2146" s="67"/>
      <c r="L2146" s="73"/>
      <c r="M2146" s="11"/>
    </row>
    <row r="2147" spans="2:48" ht="15" customHeight="1" x14ac:dyDescent="0.25">
      <c r="B2147" s="67"/>
      <c r="C2147" s="120"/>
      <c r="D2147" s="12"/>
      <c r="E2147" s="99"/>
      <c r="F2147" s="12"/>
      <c r="G2147" s="12"/>
      <c r="H2147" s="67"/>
      <c r="I2147" s="71"/>
      <c r="J2147" s="72"/>
      <c r="K2147" s="67"/>
      <c r="L2147" s="73"/>
      <c r="M2147" s="11"/>
    </row>
    <row r="2148" spans="2:48" ht="15" customHeight="1" x14ac:dyDescent="0.25">
      <c r="B2148" s="67"/>
      <c r="C2148" s="105"/>
      <c r="D2148" s="12"/>
      <c r="E2148" s="67"/>
      <c r="F2148" s="12"/>
      <c r="G2148" s="12"/>
      <c r="H2148" s="67"/>
      <c r="I2148" s="71"/>
      <c r="J2148" s="72"/>
      <c r="K2148" s="67"/>
      <c r="L2148" s="73"/>
      <c r="M2148" s="11"/>
    </row>
    <row r="2149" spans="2:48" ht="15" customHeight="1" x14ac:dyDescent="0.25">
      <c r="B2149" s="67"/>
      <c r="C2149" s="105"/>
      <c r="D2149" s="12"/>
      <c r="E2149" s="67"/>
      <c r="F2149" s="12"/>
      <c r="G2149" s="12"/>
      <c r="H2149" s="67"/>
      <c r="I2149" s="71"/>
      <c r="J2149" s="72"/>
      <c r="K2149" s="67"/>
      <c r="L2149" s="73"/>
      <c r="M2149" s="11"/>
    </row>
    <row r="2150" spans="2:48" ht="15" customHeight="1" x14ac:dyDescent="0.25">
      <c r="B2150" s="67"/>
      <c r="C2150" s="105"/>
      <c r="D2150" s="12"/>
      <c r="E2150" s="67"/>
      <c r="F2150" s="12"/>
      <c r="G2150" s="12"/>
      <c r="H2150" s="67"/>
      <c r="I2150" s="71"/>
      <c r="J2150" s="72"/>
      <c r="K2150" s="67"/>
      <c r="L2150" s="73"/>
      <c r="M2150" s="11"/>
    </row>
    <row r="2151" spans="2:48" ht="15" customHeight="1" x14ac:dyDescent="0.25">
      <c r="B2151" s="67"/>
      <c r="C2151" s="105"/>
      <c r="D2151" s="12"/>
      <c r="E2151" s="67"/>
      <c r="F2151" s="12"/>
      <c r="G2151" s="12"/>
      <c r="H2151" s="67"/>
      <c r="I2151" s="71"/>
      <c r="J2151" s="72"/>
      <c r="K2151" s="67"/>
      <c r="L2151" s="73"/>
      <c r="M2151" s="11"/>
    </row>
    <row r="2152" spans="2:48" ht="15" customHeight="1" x14ac:dyDescent="0.25">
      <c r="B2152" s="67"/>
      <c r="C2152" s="105"/>
      <c r="D2152" s="12"/>
      <c r="E2152" s="67"/>
      <c r="F2152" s="12"/>
      <c r="G2152" s="12"/>
      <c r="H2152" s="67"/>
      <c r="I2152" s="71"/>
      <c r="J2152" s="72"/>
      <c r="K2152" s="67"/>
      <c r="L2152" s="73"/>
      <c r="M2152" s="11"/>
    </row>
    <row r="2153" spans="2:48" ht="15" customHeight="1" x14ac:dyDescent="0.25">
      <c r="B2153" s="67"/>
      <c r="C2153" s="105"/>
      <c r="D2153" s="12"/>
      <c r="E2153" s="67"/>
      <c r="F2153" s="12"/>
      <c r="G2153" s="12"/>
      <c r="H2153" s="67"/>
      <c r="I2153" s="71"/>
      <c r="J2153" s="72"/>
      <c r="K2153" s="67"/>
      <c r="L2153" s="73"/>
      <c r="M2153" s="11"/>
    </row>
    <row r="2154" spans="2:48" ht="15" customHeight="1" x14ac:dyDescent="0.25">
      <c r="B2154" s="67"/>
      <c r="C2154" s="105"/>
      <c r="D2154" s="12"/>
      <c r="E2154" s="67"/>
      <c r="F2154" s="12"/>
      <c r="G2154" s="12"/>
      <c r="H2154" s="67"/>
      <c r="I2154" s="71"/>
      <c r="J2154" s="72"/>
      <c r="K2154" s="67"/>
      <c r="L2154" s="73"/>
      <c r="M2154" s="11"/>
    </row>
    <row r="2155" spans="2:48" s="15" customFormat="1" ht="15" customHeight="1" x14ac:dyDescent="0.25">
      <c r="B2155" s="11"/>
      <c r="C2155" s="105"/>
      <c r="D2155" s="23"/>
      <c r="E2155" s="11"/>
      <c r="F2155" s="23"/>
      <c r="G2155" s="23"/>
      <c r="H2155" s="11"/>
      <c r="I2155" s="24"/>
      <c r="J2155" s="13"/>
      <c r="K2155" s="67"/>
      <c r="L2155" s="19"/>
      <c r="M2155" s="11"/>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row>
    <row r="2156" spans="2:48" s="15" customFormat="1" ht="15" customHeight="1" x14ac:dyDescent="0.25">
      <c r="B2156" s="11"/>
      <c r="C2156" s="105"/>
      <c r="D2156" s="23"/>
      <c r="E2156" s="11"/>
      <c r="F2156" s="23"/>
      <c r="G2156" s="23"/>
      <c r="H2156" s="11"/>
      <c r="I2156" s="24"/>
      <c r="J2156" s="13"/>
      <c r="K2156" s="11"/>
      <c r="L2156" s="19"/>
      <c r="M2156" s="11"/>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row>
    <row r="2157" spans="2:48" ht="15" customHeight="1" x14ac:dyDescent="0.25">
      <c r="B2157" s="67"/>
      <c r="C2157" s="105"/>
      <c r="D2157" s="12"/>
      <c r="E2157" s="67"/>
      <c r="F2157" s="12"/>
      <c r="G2157" s="12"/>
      <c r="H2157" s="67"/>
      <c r="I2157" s="71"/>
      <c r="J2157" s="72"/>
      <c r="K2157" s="67"/>
      <c r="L2157" s="73"/>
      <c r="M2157" s="67"/>
    </row>
    <row r="2158" spans="2:48" ht="15" customHeight="1" x14ac:dyDescent="0.25">
      <c r="B2158" s="67"/>
      <c r="C2158" s="105"/>
      <c r="D2158" s="12"/>
      <c r="E2158" s="67"/>
      <c r="F2158" s="12"/>
      <c r="G2158" s="12"/>
      <c r="H2158" s="67"/>
      <c r="I2158" s="71"/>
      <c r="J2158" s="72"/>
      <c r="K2158" s="67"/>
      <c r="L2158" s="73"/>
      <c r="M2158" s="67"/>
    </row>
    <row r="2159" spans="2:48" ht="15" customHeight="1" x14ac:dyDescent="0.25">
      <c r="B2159" s="67"/>
      <c r="C2159" s="105"/>
      <c r="D2159" s="12"/>
      <c r="E2159" s="67"/>
      <c r="F2159" s="12"/>
      <c r="G2159" s="12"/>
      <c r="H2159" s="67"/>
      <c r="I2159" s="71"/>
      <c r="J2159" s="72"/>
      <c r="K2159" s="67"/>
      <c r="L2159" s="73"/>
      <c r="M2159" s="67"/>
    </row>
    <row r="2160" spans="2:48" ht="15" customHeight="1" x14ac:dyDescent="0.25">
      <c r="B2160" s="67"/>
      <c r="C2160" s="105"/>
      <c r="D2160" s="12"/>
      <c r="E2160" s="67"/>
      <c r="F2160" s="12"/>
      <c r="G2160" s="98"/>
      <c r="H2160" s="67"/>
      <c r="I2160" s="71"/>
      <c r="J2160" s="72"/>
      <c r="K2160" s="67"/>
      <c r="L2160" s="73"/>
      <c r="M2160" s="67"/>
    </row>
    <row r="2161" spans="2:48" ht="15" customHeight="1" x14ac:dyDescent="0.25">
      <c r="B2161" s="67"/>
      <c r="C2161" s="105"/>
      <c r="D2161" s="12"/>
      <c r="E2161" s="67"/>
      <c r="F2161" s="12"/>
      <c r="G2161" s="12"/>
      <c r="H2161" s="67"/>
      <c r="I2161" s="87"/>
      <c r="J2161" s="72"/>
      <c r="K2161" s="67"/>
      <c r="L2161" s="73"/>
      <c r="M2161" s="67"/>
    </row>
    <row r="2162" spans="2:48" ht="15" customHeight="1" x14ac:dyDescent="0.25">
      <c r="B2162" s="67"/>
      <c r="C2162" s="105"/>
      <c r="D2162" s="12"/>
      <c r="E2162" s="67"/>
      <c r="F2162" s="12"/>
      <c r="G2162" s="12"/>
      <c r="H2162" s="67"/>
      <c r="I2162" s="71"/>
      <c r="J2162" s="72"/>
      <c r="K2162" s="67"/>
      <c r="L2162" s="73"/>
      <c r="M2162" s="67"/>
    </row>
    <row r="2163" spans="2:48" ht="15" customHeight="1" x14ac:dyDescent="0.25">
      <c r="B2163" s="67"/>
      <c r="C2163" s="105"/>
      <c r="D2163" s="12"/>
      <c r="E2163" s="67"/>
      <c r="F2163" s="98"/>
      <c r="G2163" s="98"/>
      <c r="H2163" s="67"/>
      <c r="I2163" s="71"/>
      <c r="J2163" s="72"/>
      <c r="K2163" s="67"/>
      <c r="L2163" s="73"/>
      <c r="M2163" s="67"/>
    </row>
    <row r="2164" spans="2:48" ht="15" customHeight="1" x14ac:dyDescent="0.25">
      <c r="B2164" s="67"/>
      <c r="C2164" s="105"/>
      <c r="D2164" s="12"/>
      <c r="E2164" s="67"/>
      <c r="F2164" s="12"/>
      <c r="G2164" s="12"/>
      <c r="H2164" s="67"/>
      <c r="I2164" s="71"/>
      <c r="J2164" s="72"/>
      <c r="K2164" s="67"/>
      <c r="L2164" s="73"/>
      <c r="M2164" s="67"/>
    </row>
    <row r="2165" spans="2:48" ht="15" customHeight="1" x14ac:dyDescent="0.25">
      <c r="B2165" s="67"/>
      <c r="C2165" s="105"/>
      <c r="D2165" s="12"/>
      <c r="E2165" s="67"/>
      <c r="F2165" s="12"/>
      <c r="G2165" s="12"/>
      <c r="H2165" s="67"/>
      <c r="I2165" s="71"/>
      <c r="J2165" s="72"/>
      <c r="K2165" s="67"/>
      <c r="L2165" s="73"/>
      <c r="M2165" s="67"/>
    </row>
    <row r="2166" spans="2:48" ht="15" customHeight="1" x14ac:dyDescent="0.25">
      <c r="B2166" s="67"/>
      <c r="C2166" s="105"/>
      <c r="D2166" s="12"/>
      <c r="E2166" s="67"/>
      <c r="F2166" s="12"/>
      <c r="G2166" s="12"/>
      <c r="H2166" s="67"/>
      <c r="I2166" s="71"/>
      <c r="J2166" s="72"/>
      <c r="K2166" s="67"/>
      <c r="L2166" s="73"/>
      <c r="M2166" s="67"/>
    </row>
    <row r="2167" spans="2:48" ht="15" customHeight="1" x14ac:dyDescent="0.25">
      <c r="B2167" s="67"/>
      <c r="C2167" s="105"/>
      <c r="D2167" s="12"/>
      <c r="E2167" s="67"/>
      <c r="F2167" s="12" t="s">
        <v>5193</v>
      </c>
      <c r="G2167" s="12"/>
      <c r="H2167" s="67"/>
      <c r="I2167" s="71"/>
      <c r="J2167" s="72"/>
      <c r="K2167" s="67"/>
      <c r="L2167" s="73"/>
      <c r="M2167" s="67"/>
    </row>
    <row r="2168" spans="2:48" s="15" customFormat="1" ht="15" customHeight="1" x14ac:dyDescent="0.25">
      <c r="B2168" s="11"/>
      <c r="C2168" s="105"/>
      <c r="D2168" s="23"/>
      <c r="E2168" s="11"/>
      <c r="F2168" s="23"/>
      <c r="G2168" s="31"/>
      <c r="H2168" s="11"/>
      <c r="I2168" s="24"/>
      <c r="J2168" s="13"/>
      <c r="K2168" s="11"/>
      <c r="L2168" s="19"/>
      <c r="M2168" s="11"/>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row>
    <row r="2169" spans="2:48" ht="15" customHeight="1" x14ac:dyDescent="0.25">
      <c r="B2169" s="67"/>
      <c r="C2169" s="105"/>
      <c r="D2169" s="12"/>
      <c r="E2169" s="67"/>
      <c r="F2169" s="12"/>
      <c r="G2169" s="12"/>
      <c r="H2169" s="67"/>
      <c r="I2169" s="71"/>
      <c r="J2169" s="72"/>
      <c r="K2169" s="67"/>
      <c r="L2169" s="73"/>
      <c r="M2169" s="67"/>
    </row>
    <row r="2170" spans="2:48" s="15" customFormat="1" ht="15" customHeight="1" x14ac:dyDescent="0.25">
      <c r="B2170" s="11"/>
      <c r="C2170" s="105"/>
      <c r="D2170" s="23"/>
      <c r="E2170" s="11"/>
      <c r="F2170" s="23"/>
      <c r="G2170" s="23"/>
      <c r="H2170" s="11"/>
      <c r="I2170" s="24"/>
      <c r="J2170" s="13"/>
      <c r="K2170" s="11"/>
      <c r="L2170" s="19"/>
      <c r="M2170" s="11"/>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row>
    <row r="2180" spans="8:8" ht="15" customHeight="1" x14ac:dyDescent="0.25">
      <c r="H2180" s="13"/>
    </row>
    <row r="2181" spans="8:8" ht="15" customHeight="1" x14ac:dyDescent="0.25">
      <c r="H2181" s="13"/>
    </row>
    <row r="2182" spans="8:8" ht="15" customHeight="1" x14ac:dyDescent="0.25">
      <c r="H2182" s="13"/>
    </row>
    <row r="2183" spans="8:8" ht="15" customHeight="1" x14ac:dyDescent="0.25">
      <c r="H2183" s="13"/>
    </row>
    <row r="2184" spans="8:8" ht="15" customHeight="1" x14ac:dyDescent="0.25">
      <c r="H2184" s="30"/>
    </row>
    <row r="2185" spans="8:8" ht="15" customHeight="1" x14ac:dyDescent="0.25">
      <c r="H2185" s="13"/>
    </row>
    <row r="2186" spans="8:8" ht="15" customHeight="1" x14ac:dyDescent="0.25">
      <c r="H2186" s="13"/>
    </row>
    <row r="2187" spans="8:8" ht="15" customHeight="1" x14ac:dyDescent="0.25">
      <c r="H2187" s="13"/>
    </row>
    <row r="2188" spans="8:8" ht="15" customHeight="1" x14ac:dyDescent="0.25">
      <c r="H2188" s="13"/>
    </row>
    <row r="2189" spans="8:8" ht="15" customHeight="1" x14ac:dyDescent="0.25">
      <c r="H2189" s="13"/>
    </row>
    <row r="2190" spans="8:8" ht="15" customHeight="1" x14ac:dyDescent="0.25">
      <c r="H2190" s="13"/>
    </row>
    <row r="2191" spans="8:8" ht="15" customHeight="1" x14ac:dyDescent="0.25">
      <c r="H2191" s="13"/>
    </row>
    <row r="2192" spans="8:8" ht="15" customHeight="1" x14ac:dyDescent="0.25">
      <c r="H2192" s="13"/>
    </row>
    <row r="2193" spans="8:8" ht="15" customHeight="1" x14ac:dyDescent="0.25">
      <c r="H2193" s="13"/>
    </row>
    <row r="2194" spans="8:8" ht="15" customHeight="1" x14ac:dyDescent="0.25">
      <c r="H2194" s="13"/>
    </row>
    <row r="2195" spans="8:8" ht="15" customHeight="1" x14ac:dyDescent="0.25">
      <c r="H2195" s="13"/>
    </row>
    <row r="2196" spans="8:8" ht="15" customHeight="1" x14ac:dyDescent="0.25">
      <c r="H2196" s="22"/>
    </row>
  </sheetData>
  <dataValidations count="12">
    <dataValidation type="list" allowBlank="1" showInputMessage="1" showErrorMessage="1" sqref="K2020 K2026 K2034 K2038:K2042 K2045 K2047:K2048 K2084:K2086 K2056 K2066 K2071:K2075 K2081 K2088:K2141 K2079" xr:uid="{6B67277A-41DD-48A9-B2FF-5139A236CD43}">
      <formula1>"MELVIN, ANAND, MARINELLE, BNI,K F MARIA,DM, REENA,GLEN, CLEEVAN,GAGAN,AARON,DINEL, DAKSH"</formula1>
    </dataValidation>
    <dataValidation type="list" allowBlank="1" showInputMessage="1" showErrorMessage="1" sqref="K2020 K2026 K2034 K2038:K2042 K2045 K2047:K2048 K2084:K2086 K2056 K2066 K2071:K2075 K2081 K2088:K2141 K2079" xr:uid="{0846F1B1-EDA0-4080-9EC3-42B4169A4FF7}">
      <formula1>"MELVIN, ANAND, MARINELLE, BNI,K F MARIA,DM, REENA,GLEN, CLEEVAN,GAGAN,AARON,SREERAJ,DAKSH"</formula1>
    </dataValidation>
    <dataValidation type="list" allowBlank="1" showInputMessage="1" showErrorMessage="1" sqref="K1590 K1642" xr:uid="{51B95C17-8C87-49DE-9EFB-FA640D0D34A1}">
      <formula1>"MELVIN, ANAND, MARINELLE, BNI,K F MARIA,DM, REENA,GLEN, CLEEVAN,GAGAN,AARON,DARSHAN"</formula1>
    </dataValidation>
    <dataValidation type="list" allowBlank="1" showInputMessage="1" showErrorMessage="1" sqref="K1365 K1368 K1371:K1372 K1165 K1172 K1180:K1182 K1219 K1224 K1252 K1255 K1266 K1315 K1330 K1332 K1336:K1337 K1355 K1360:K1361 K1376 K1381 K1386:K1387 K1391 K1402 K1406 K1408 K1435 K1581:K1589 K1591:K1641 K1643:K2019 K2021:K2025 K2027:K2033 K2035:K2037 K2142:K2143 K2043:K2044 K2046 K2049:K2055 K2057:K2065 K2067:K2070 K2087 K2082:K2083 K2076:K2078 K2080" xr:uid="{0C2DF7FD-F650-4B65-902B-3185DFB5DB20}">
      <formula1>"MELVIN, ANAND, MARINELLE, BNI,K F MARIA,DM, REENA,GLEN, CLEEVAN,GAGAN,AARON,DINEL"</formula1>
    </dataValidation>
    <dataValidation type="list" allowBlank="1" showInputMessage="1" showErrorMessage="1" sqref="K1349:K1354 K1356:K1359 K1603 K1597 K1621 K1624:K1625 K1638 K1657:K1666 K1681 K1686 K1703 K1708 K1713 K1715 K1722 K1728 K1735 K1738 K1740 K1759 K1776:K2019 K2021:K2025 K2027:K2033 K2035:K2037 K2142:K2143 K2043:K2044 K2046 K2049:K2055 K2057:K2065 K2067:K2070 K2087 K2082:K2083 K2076:K2078 K2080" xr:uid="{6F48BA2C-D735-4C23-88A8-03884DAC0D1A}">
      <formula1>"MELVIN, ANAND, MARINELLE, BNI,K F MARIA,DM, REENA,GLEN, CLEEVAN,GAGAN,AARON,SREERAJ"</formula1>
    </dataValidation>
    <dataValidation type="list" allowBlank="1" showInputMessage="1" showErrorMessage="1" promptTitle="AARON" sqref="K1013" xr:uid="{83527D82-B985-4B65-8B96-4D89A9FD52AB}">
      <formula1>"MELVIN, ANAND, MARINELLE, BNI,K F MARIA,DM, REENA,GLEN, CLEEVAN,GAGAN,AARON"</formula1>
    </dataValidation>
    <dataValidation type="list" allowBlank="1" showInputMessage="1" showErrorMessage="1" sqref="K2" xr:uid="{4FF4874E-8034-4BD9-812D-ED42B231AB0C}">
      <formula1>"SREERAJ,MELVIN, ANAND, MARINELLE, BNI,K F MARIA,DM, REENA,GLEN, CLEEVAN,GAGAN,AARON"</formula1>
    </dataValidation>
    <dataValidation type="list" allowBlank="1" showInputMessage="1" showErrorMessage="1" sqref="K979" xr:uid="{639CF870-F179-4F5B-8CB7-99975B5591F1}">
      <formula1>"MELVIN, ANAND, MARINELLE, BNI,K F MAR+$AL$979IA,DM, REENA,GLEN,$A$979 CLEEVAN,GAGAN,SABARISH"</formula1>
    </dataValidation>
    <dataValidation type="list" allowBlank="1" showInputMessage="1" showErrorMessage="1" sqref="K619" xr:uid="{434C6735-2840-4BA1-9494-8140AF9F6A35}">
      <formula1>"MELVIN,K F MARIYA, ANAND, MARINELLE, DM, REENA,GLEN, CLEEVAN,GAGAN"</formula1>
    </dataValidation>
    <dataValidation type="list" allowBlank="1" showInputMessage="1" showErrorMessage="1" sqref="M2202:M1048576 M1:M823 M825:M2196" xr:uid="{987B5011-5B72-4D83-9920-F0F4CFF4641C}">
      <formula1>"HOLD, OPEN, PRODUCTION, INVOICED, REGRET"</formula1>
    </dataValidation>
    <dataValidation type="list" showInputMessage="1" showErrorMessage="1" sqref="E2202:E1048576 E1:E823 E826:E902 E904:E1176 E1178:E1370 E1372:E1952 E1954:E2196" xr:uid="{D3FEE88B-412D-48F1-807D-615E98560B05}">
      <formula1>"NEW, OLD"</formula1>
    </dataValidation>
    <dataValidation type="list" allowBlank="1" showInputMessage="1" showErrorMessage="1" sqref="K552:K618 K2202:K1048576 K3:K550 K758:K823 K620:K661 K663:K756 K825:K978 K1 K980:K1012 K1362:K1364 K1173:K1176 K1338:K1348 K1366:K1367 K1014:K1164 K1166:K1171 K1178:K1179 K1183:K1218 K1220:K1223 K1225:K1251 K1253:K1254 K1256:K1265 K1267:K1314 K1316:K1329 K1331 K1333:K1335 K1369:K1589 K1598:K1602 K1591:K1596 K1604:K1620 K1622:K1623 K1626:K1637 K1639:K1641 K1643:K1656 K1667:K1680 K1682:K1685 K1687:K1702 K1704:K1707 K1709:K1712 K1714 K1716:K1721 K1723:K1727 K1729:K1734 K1739 K1736:K1737 K1741:K1758 K1760:K1775 K2144:K2196" xr:uid="{4DF69484-10BF-4BEC-B064-C366579ABB08}">
      <formula1>"MELVIN, ANAND, MARINELLE, BNI,K F MARIA,DM, REENA,GLEN, CLEEVAN,GAGAN,AARON,SABARISH"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Jerin</dc:creator>
  <cp:lastModifiedBy>Jerin </cp:lastModifiedBy>
  <dcterms:created xsi:type="dcterms:W3CDTF">2025-12-08T10:21:20Z</dcterms:created>
  <dcterms:modified xsi:type="dcterms:W3CDTF">2025-12-08T10:21:51Z</dcterms:modified>
</cp:coreProperties>
</file>